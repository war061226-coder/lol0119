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참가자DB" sheetId="1" r:id="rId5"/>
    <sheet state="visible" name="팀배정" sheetId="2" r:id="rId6"/>
    <sheet state="visible" name="이력" sheetId="3" r:id="rId7"/>
    <sheet state="visible" name="설정" sheetId="4" r:id="rId8"/>
    <sheet state="visible" name="참가자명단" sheetId="5" r:id="rId9"/>
    <sheet state="visible" name="명단입력" sheetId="6" r:id="rId10"/>
    <sheet state="visible" name="결과화면" sheetId="7" r:id="rId11"/>
  </sheets>
  <definedNames/>
  <calcPr/>
</workbook>
</file>

<file path=xl/sharedStrings.xml><?xml version="1.0" encoding="utf-8"?>
<sst xmlns="http://schemas.openxmlformats.org/spreadsheetml/2006/main" count="294" uniqueCount="150">
  <si>
    <t>참가자 DB (고정 프로필 - 한 번만 등록해두면 계속 재사용)</t>
  </si>
  <si>
    <t>설정 (드롭다운 / 점수 환산 기준표) - 보통 수정 불필요</t>
  </si>
  <si>
    <t>팀 배정 이력</t>
  </si>
  <si>
    <t>팀 배정 결과</t>
  </si>
  <si>
    <t>※ 새로운 사람이 들어오면 이 시트에 한 줄 추가해주세요. 닉네임#태그·선호 포지션·최근 티어처럼 기본값으로 쓸 정보를 여기서 관리합니다. 명단입력에서 자동으로 채워지며, 이번 판만 다르면 명단입력에서 직접 덮어써도 됩니다.</t>
  </si>
  <si>
    <t>회차</t>
  </si>
  <si>
    <t>마지막 배정 시각</t>
  </si>
  <si>
    <t>번호</t>
  </si>
  <si>
    <t>배정일시</t>
  </si>
  <si>
    <t>디코닉네임</t>
  </si>
  <si>
    <t>닉네임#태그</t>
  </si>
  <si>
    <t>블루_TOP</t>
  </si>
  <si>
    <t>주포지션1</t>
  </si>
  <si>
    <t>블루_JG</t>
  </si>
  <si>
    <t>주포지션2</t>
  </si>
  <si>
    <t>블루_MID</t>
  </si>
  <si>
    <t>부포지션1</t>
  </si>
  <si>
    <t>블루_ADC</t>
  </si>
  <si>
    <t>부포지션2</t>
  </si>
  <si>
    <t>블루_SUP</t>
  </si>
  <si>
    <t>최근 티어</t>
  </si>
  <si>
    <t>레드_TOP</t>
  </si>
  <si>
    <t>레드_JG</t>
  </si>
  <si>
    <t>레드_MID</t>
  </si>
  <si>
    <t>티어</t>
  </si>
  <si>
    <t>레드_ADC</t>
  </si>
  <si>
    <t>점수(MMR)</t>
  </si>
  <si>
    <t>레드_SUP</t>
  </si>
  <si>
    <t>포지션 목록</t>
  </si>
  <si>
    <t>블루총점</t>
  </si>
  <si>
    <t>참여여부</t>
  </si>
  <si>
    <t>레드총점</t>
  </si>
  <si>
    <t>점수차</t>
  </si>
  <si>
    <t>말라리</t>
  </si>
  <si>
    <t>단결된 의지#1226</t>
  </si>
  <si>
    <t>※ 이 시트는 '이력에 저장' 버튼(SaveToHistory 매크로)을 누를 때마다 자동으로 한 줄씩 추가됩니다. 직접 입력하지 않아도 됩니다.</t>
  </si>
  <si>
    <t>아이언4</t>
  </si>
  <si>
    <t>TOP</t>
  </si>
  <si>
    <t>MID</t>
  </si>
  <si>
    <t>JG</t>
  </si>
  <si>
    <t>Y</t>
  </si>
  <si>
    <t>SUP</t>
  </si>
  <si>
    <r>
      <rPr>
        <rFont val="Noto Sans CJK SC"/>
        <color rgb="FF0000FF"/>
        <sz val="10.0"/>
      </rPr>
      <t>브론즈</t>
    </r>
    <r>
      <rPr>
        <rFont val="Arial"/>
        <color rgb="FF0000FF"/>
        <sz val="10.0"/>
      </rPr>
      <t>2</t>
    </r>
  </si>
  <si>
    <t>리코</t>
  </si>
  <si>
    <t>우리 집 앞 찹쌀 붕어빵#맛있어요</t>
  </si>
  <si>
    <t>🔵 블루팀 (BLUE)</t>
  </si>
  <si>
    <t>ADC</t>
  </si>
  <si>
    <t>아이언3</t>
  </si>
  <si>
    <r>
      <rPr>
        <rFont val="Noto Sans CJK SC"/>
        <color rgb="FF0000FF"/>
        <sz val="10.0"/>
      </rPr>
      <t>골드</t>
    </r>
    <r>
      <rPr>
        <rFont val="Arial"/>
        <color rgb="FF0000FF"/>
        <sz val="10.0"/>
      </rPr>
      <t>2</t>
    </r>
  </si>
  <si>
    <t>N</t>
  </si>
  <si>
    <t>🔴 레드팀 (RED)</t>
  </si>
  <si>
    <t>스카이</t>
  </si>
  <si>
    <t>다크블루3#KR1</t>
  </si>
  <si>
    <t>에메랄드1</t>
  </si>
  <si>
    <t>벌우주</t>
  </si>
  <si>
    <t>아이언2</t>
  </si>
  <si>
    <t>JWCB#STSP</t>
  </si>
  <si>
    <t>포지션</t>
  </si>
  <si>
    <r>
      <rPr>
        <rFont val="Noto Sans CJK SC"/>
        <color rgb="FF0000FF"/>
        <sz val="10.0"/>
      </rPr>
      <t>실버</t>
    </r>
    <r>
      <rPr>
        <rFont val="Arial"/>
        <color rgb="FF0000FF"/>
        <sz val="10.0"/>
      </rPr>
      <t>2</t>
    </r>
  </si>
  <si>
    <t>닉네임</t>
  </si>
  <si>
    <t>점수</t>
  </si>
  <si>
    <t>아이언1</t>
  </si>
  <si>
    <t>아세</t>
  </si>
  <si>
    <t>Vega#BDD</t>
  </si>
  <si>
    <r>
      <rPr>
        <rFont val="Noto Sans CJK SC"/>
        <color rgb="FF0000FF"/>
        <sz val="10.0"/>
      </rPr>
      <t>실버</t>
    </r>
    <r>
      <rPr>
        <rFont val="Arial"/>
        <color rgb="FF0000FF"/>
        <sz val="10.0"/>
      </rPr>
      <t>3</t>
    </r>
  </si>
  <si>
    <t>브론즈4</t>
  </si>
  <si>
    <r>
      <rPr>
        <rFont val="Arial"/>
        <color rgb="FF0000FF"/>
        <sz val="10.0"/>
      </rPr>
      <t>@</t>
    </r>
    <r>
      <rPr>
        <rFont val="Noto Sans CJK SC"/>
        <color rgb="FF0000FF"/>
        <sz val="10.0"/>
      </rPr>
      <t>김토토</t>
    </r>
    <r>
      <rPr>
        <rFont val="Arial"/>
        <color rgb="FF0000FF"/>
        <sz val="10.0"/>
      </rPr>
      <t>@</t>
    </r>
  </si>
  <si>
    <t>김토토#아가대장</t>
  </si>
  <si>
    <t>없음</t>
  </si>
  <si>
    <r>
      <rPr>
        <rFont val="Noto Sans CJK SC"/>
        <color rgb="FF0000FF"/>
        <sz val="10.0"/>
      </rPr>
      <t>실버</t>
    </r>
    <r>
      <rPr>
        <rFont val="Arial"/>
        <color rgb="FF0000FF"/>
        <sz val="10.0"/>
      </rPr>
      <t>2</t>
    </r>
  </si>
  <si>
    <r>
      <rPr>
        <rFont val="Arial"/>
        <color rgb="FF0000FF"/>
        <sz val="10.0"/>
      </rPr>
      <t>@</t>
    </r>
    <r>
      <rPr>
        <rFont val="Noto Sans CJK SC"/>
        <color rgb="FF0000FF"/>
        <sz val="10.0"/>
      </rPr>
      <t>정정쓰</t>
    </r>
    <r>
      <rPr>
        <rFont val="Arial"/>
        <color rgb="FF0000FF"/>
        <sz val="10.0"/>
      </rPr>
      <t>@</t>
    </r>
  </si>
  <si>
    <t>브론즈3</t>
  </si>
  <si>
    <t>졍졍쓰#7777</t>
  </si>
  <si>
    <r>
      <rPr>
        <rFont val="Noto Sans CJK SC"/>
        <color rgb="FF0000FF"/>
        <sz val="10.0"/>
      </rPr>
      <t>플래티넘</t>
    </r>
    <r>
      <rPr>
        <rFont val="Arial"/>
        <color rgb="FF0000FF"/>
        <sz val="10.0"/>
      </rPr>
      <t>2</t>
    </r>
  </si>
  <si>
    <t>브론즈2</t>
  </si>
  <si>
    <t>광어</t>
  </si>
  <si>
    <t>물컹한맛광어#0076</t>
  </si>
  <si>
    <t>브론즈1</t>
  </si>
  <si>
    <t>별이</t>
  </si>
  <si>
    <t>별이에요#star</t>
  </si>
  <si>
    <t>실버4</t>
  </si>
  <si>
    <t>고라니</t>
  </si>
  <si>
    <t>서영이언니이뻐요#1226</t>
  </si>
  <si>
    <t>실버3</t>
  </si>
  <si>
    <r>
      <rPr>
        <rFont val="Noto Sans CJK SC"/>
        <color rgb="FF0000FF"/>
        <sz val="10.0"/>
      </rPr>
      <t>골드</t>
    </r>
    <r>
      <rPr>
        <rFont val="Arial"/>
        <color rgb="FF0000FF"/>
        <sz val="10.0"/>
      </rPr>
      <t>1</t>
    </r>
  </si>
  <si>
    <t>스페얼</t>
  </si>
  <si>
    <t>스페얼아님#1234</t>
  </si>
  <si>
    <t>실버2</t>
  </si>
  <si>
    <r>
      <rPr>
        <rFont val="Noto Sans CJK SC"/>
        <color rgb="FF0000FF"/>
        <sz val="10.0"/>
      </rPr>
      <t>실버</t>
    </r>
    <r>
      <rPr>
        <rFont val="Arial"/>
        <color rgb="FF0000FF"/>
        <sz val="10.0"/>
      </rPr>
      <t>2</t>
    </r>
  </si>
  <si>
    <t>김맨들씨</t>
  </si>
  <si>
    <t>맨들펀치#김맨들씨</t>
  </si>
  <si>
    <t>실버1</t>
  </si>
  <si>
    <r>
      <rPr>
        <rFont val="Noto Sans CJK SC"/>
        <color rgb="FF0000FF"/>
        <sz val="10.0"/>
      </rPr>
      <t>브론즈</t>
    </r>
    <r>
      <rPr>
        <rFont val="Arial"/>
        <color rgb="FF0000FF"/>
        <sz val="10.0"/>
      </rPr>
      <t>4</t>
    </r>
  </si>
  <si>
    <t>김수원</t>
  </si>
  <si>
    <t>아스파라거스#aste</t>
  </si>
  <si>
    <t>총점 합계</t>
  </si>
  <si>
    <t>골드4</t>
  </si>
  <si>
    <t>쌀밥</t>
  </si>
  <si>
    <t>안녕안녕#안녕이야</t>
  </si>
  <si>
    <t>골드3</t>
  </si>
  <si>
    <t>천악</t>
  </si>
  <si>
    <t>사라진세계의천악#KR1</t>
  </si>
  <si>
    <t>골드2</t>
  </si>
  <si>
    <t>평균 점수</t>
  </si>
  <si>
    <r>
      <rPr>
        <rFont val="Noto Sans CJK SC"/>
        <color rgb="FF0000FF"/>
        <sz val="10.0"/>
      </rPr>
      <t>브론즈</t>
    </r>
    <r>
      <rPr>
        <rFont val="Arial"/>
        <color rgb="FF0000FF"/>
        <sz val="10.0"/>
      </rPr>
      <t>1</t>
    </r>
  </si>
  <si>
    <t>형봉봉</t>
  </si>
  <si>
    <t>은빛날개z#KR1</t>
  </si>
  <si>
    <t>골드1</t>
  </si>
  <si>
    <r>
      <rPr>
        <rFont val="Noto Sans CJK SC"/>
        <color rgb="FF0000FF"/>
        <sz val="10.0"/>
      </rPr>
      <t>실버</t>
    </r>
    <r>
      <rPr>
        <rFont val="Arial"/>
        <color rgb="FF0000FF"/>
        <sz val="10.0"/>
      </rPr>
      <t>2</t>
    </r>
  </si>
  <si>
    <t>겐에이</t>
  </si>
  <si>
    <t>겐에이#파스텔</t>
  </si>
  <si>
    <t>점수 차이 (밸런스)</t>
  </si>
  <si>
    <r>
      <rPr>
        <rFont val="Noto Sans CJK SC"/>
        <color rgb="FF0000FF"/>
        <sz val="10.0"/>
      </rPr>
      <t>실버</t>
    </r>
    <r>
      <rPr>
        <rFont val="Arial"/>
        <color rgb="FF0000FF"/>
        <sz val="10.0"/>
      </rPr>
      <t>2</t>
    </r>
  </si>
  <si>
    <t>쨔스</t>
  </si>
  <si>
    <t>플래티넘4</t>
  </si>
  <si>
    <t>이수민#8826</t>
  </si>
  <si>
    <t>무능</t>
  </si>
  <si>
    <t>게임 안에서 게임하기#니하하하하</t>
  </si>
  <si>
    <t>플래티넘3</t>
  </si>
  <si>
    <r>
      <rPr>
        <rFont val="Noto Sans CJK SC"/>
        <color rgb="FF0000FF"/>
        <sz val="10.0"/>
      </rPr>
      <t>에메랄드</t>
    </r>
    <r>
      <rPr>
        <rFont val="Arial"/>
        <color rgb="FF0000FF"/>
        <sz val="10.0"/>
      </rPr>
      <t>3</t>
    </r>
  </si>
  <si>
    <t>플래티넘2</t>
  </si>
  <si>
    <t>플래티넘1</t>
  </si>
  <si>
    <t>에메랄드4</t>
  </si>
  <si>
    <t>에메랄드3</t>
  </si>
  <si>
    <t>에메랄드2</t>
  </si>
  <si>
    <t>다이아몬드4</t>
  </si>
  <si>
    <t>다이아몬드3</t>
  </si>
  <si>
    <t>다이아몬드2</t>
  </si>
  <si>
    <t>다이아몬드1</t>
  </si>
  <si>
    <t>마스터</t>
  </si>
  <si>
    <t>그랜드마스터</t>
  </si>
  <si>
    <t>챌린저</t>
  </si>
  <si>
    <t>참가자 명단</t>
  </si>
  <si>
    <t>※ 이 시트는 '명단입력' 시트를 참고해 자동으로 채워집니다. 참가자 추가/수정은 반드시 '명단입력' 시트에서 해주세요(직접 이름을 여기에 입력하지 마세요). 정확히 10명을 '참여여부=Y'로 지정해야 5:5 팀 배정이 가능합니다.</t>
  </si>
  <si>
    <t>랜덤값</t>
  </si>
  <si>
    <t>랜덤순위</t>
  </si>
  <si>
    <t>참가자 명단 입력</t>
  </si>
  <si>
    <t>디코닉네임(B열)을 드롭다운에서 선택하면 닉네임#태그·포지션·티어가 참가자DB 기준으로 자동으로 채워집니다. 이번 판에 티어가 다르면 E열을 직접 덮어써도 되고, 계속 쓸 값이면 참가자DB의 '최근 티어'를 바꿔주세요. 참여여부(D열)만 매번 직접 정하면 됩니다.</t>
  </si>
  <si>
    <t>순번(자동)</t>
  </si>
  <si>
    <t>매치 이름 (수정 가능)</t>
  </si>
  <si>
    <t>내전</t>
  </si>
  <si>
    <t>🔵 팀 BLUE</t>
  </si>
  <si>
    <t>VS</t>
  </si>
  <si>
    <t>🔴 팀 RED</t>
  </si>
  <si>
    <t>TOTAL</t>
  </si>
  <si>
    <t>블루팀</t>
  </si>
  <si>
    <t>레드팀</t>
  </si>
  <si>
    <t>블루</t>
  </si>
  <si>
    <t>레드</t>
  </si>
  <si>
    <t>밸런스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</si>
</sst>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2">
    <font>
      <sz val="11.0"/>
      <color theme="1"/>
      <name val="Calibri"/>
      <scheme val="minor"/>
    </font>
    <font>
      <b/>
      <sz val="16.0"/>
      <color rgb="FFFFFFFF"/>
      <name val="Noto Sans"/>
    </font>
    <font/>
    <font>
      <sz val="11.0"/>
      <color theme="1"/>
      <name val="Calibri"/>
    </font>
    <font>
      <i/>
      <sz val="9.0"/>
      <color rgb="FF555555"/>
      <name val="Noto Sans"/>
    </font>
    <font>
      <b/>
      <sz val="11.0"/>
      <color rgb="FFFFFFFF"/>
      <name val="Noto Sans"/>
    </font>
    <font>
      <b/>
      <sz val="10.0"/>
      <color theme="1"/>
      <name val="Noto Sans"/>
    </font>
    <font>
      <sz val="10.0"/>
      <color rgb="FF0000FF"/>
      <name val="Noto Sans"/>
    </font>
    <font>
      <sz val="10.0"/>
      <color theme="1"/>
      <name val="Noto Sans"/>
    </font>
    <font>
      <sz val="10.0"/>
      <color rgb="FF0000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Noto Sans"/>
    </font>
    <font>
      <b/>
      <sz val="10.0"/>
      <color rgb="FF8B4500"/>
      <name val="Arial"/>
    </font>
    <font>
      <sz val="8.0"/>
      <color rgb="FFAAAAAA"/>
      <name val="Arial"/>
    </font>
    <font>
      <i/>
      <sz val="8.0"/>
      <color rgb="FF8890B5"/>
      <name val="Noto Sans"/>
    </font>
    <font>
      <b/>
      <sz val="9.0"/>
      <color rgb="FF7A5B00"/>
      <name val="Noto Sans"/>
    </font>
    <font>
      <b/>
      <sz val="15.0"/>
      <color rgb="FFFFFFFF"/>
      <name val="Noto Sans"/>
    </font>
    <font>
      <b/>
      <sz val="12.0"/>
      <color rgb="FFFFFFFF"/>
      <name val="Noto Sans"/>
    </font>
    <font>
      <b/>
      <sz val="12.0"/>
      <color rgb="FFF2C94C"/>
      <name val="Arial"/>
    </font>
    <font>
      <sz val="9.0"/>
      <color rgb="FF8890B5"/>
      <name val="Arial"/>
    </font>
    <font>
      <b/>
      <sz val="26.0"/>
      <color rgb="FF2E6FE0"/>
      <name val="Arial"/>
    </font>
    <font>
      <b/>
      <sz val="26.0"/>
      <color rgb="FFE0432E"/>
      <name val="Arial"/>
    </font>
    <font>
      <b/>
      <sz val="9.0"/>
      <color rgb="FF8890B5"/>
      <name val="Noto Sans"/>
    </font>
    <font>
      <sz val="13.0"/>
      <color rgb="FFFFFFFF"/>
      <name val="Quattrocento Sans"/>
    </font>
    <font>
      <sz val="9.0"/>
      <color rgb="FFFFFFFF"/>
      <name val="Noto Sans"/>
    </font>
    <font>
      <b/>
      <sz val="11.0"/>
      <color rgb="FF2E6FE0"/>
      <name val="Arial"/>
    </font>
    <font>
      <b/>
      <sz val="10.0"/>
      <color rgb="FFF2C94C"/>
      <name val="Arial"/>
    </font>
    <font>
      <b/>
      <sz val="11.0"/>
      <color rgb="FFE0432E"/>
      <name val="Arial"/>
    </font>
    <font>
      <i/>
      <sz val="8.0"/>
      <color rgb="FFF2C94C"/>
      <name val="Noto Sans"/>
    </font>
    <font>
      <sz val="8.0"/>
      <color rgb="FF8890B5"/>
      <name val="Arial"/>
    </font>
    <font>
      <sz val="8.0"/>
      <color rgb="FF8890B5"/>
      <name val="Noto Sans"/>
    </font>
  </fonts>
  <fills count="17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2E4374"/>
        <bgColor rgb="FF2E4374"/>
      </patternFill>
    </fill>
    <fill>
      <patternFill patternType="solid">
        <fgColor rgb="FFF2F2F2"/>
        <bgColor rgb="FFF2F2F2"/>
      </patternFill>
    </fill>
    <fill>
      <patternFill patternType="solid">
        <fgColor rgb="FFFFF6CC"/>
        <bgColor rgb="FFFFF6CC"/>
      </patternFill>
    </fill>
    <fill>
      <patternFill patternType="solid">
        <fgColor rgb="FF1E5AA8"/>
        <bgColor rgb="FF1E5AA8"/>
      </patternFill>
    </fill>
    <fill>
      <patternFill patternType="solid">
        <fgColor rgb="FFA81E1E"/>
        <bgColor rgb="FFA81E1E"/>
      </patternFill>
    </fill>
    <fill>
      <patternFill patternType="solid">
        <fgColor rgb="FF4472A8"/>
        <bgColor rgb="FF4472A8"/>
      </patternFill>
    </fill>
    <fill>
      <patternFill patternType="solid">
        <fgColor rgb="FFA84444"/>
        <bgColor rgb="FFA84444"/>
      </patternFill>
    </fill>
    <fill>
      <patternFill patternType="solid">
        <fgColor rgb="FFFFE699"/>
        <bgColor rgb="FFFFE699"/>
      </patternFill>
    </fill>
    <fill>
      <patternFill patternType="solid">
        <fgColor rgb="FFFDE9D9"/>
        <bgColor rgb="FFFDE9D9"/>
      </patternFill>
    </fill>
    <fill>
      <patternFill patternType="solid">
        <fgColor rgb="FF13182B"/>
        <bgColor rgb="FF13182B"/>
      </patternFill>
    </fill>
    <fill>
      <patternFill patternType="solid">
        <fgColor rgb="FF1B2140"/>
        <bgColor rgb="FF1B2140"/>
      </patternFill>
    </fill>
    <fill>
      <patternFill patternType="solid">
        <fgColor rgb="FF1B3E85"/>
        <bgColor rgb="FF1B3E85"/>
      </patternFill>
    </fill>
    <fill>
      <patternFill patternType="solid">
        <fgColor rgb="FF852418"/>
        <bgColor rgb="FF852418"/>
      </patternFill>
    </fill>
    <fill>
      <patternFill patternType="solid">
        <fgColor rgb="FF351C75"/>
        <bgColor rgb="FF351C75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3" numFmtId="164" xfId="0" applyAlignment="1" applyBorder="1" applyFill="1" applyFont="1" applyNumberFormat="1">
      <alignment horizontal="left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shrinkToFit="0" vertical="bottom" wrapText="0"/>
    </xf>
    <xf borderId="4" fillId="0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5" fontId="9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4" fillId="10" fontId="3" numFmtId="0" xfId="0" applyAlignment="1" applyBorder="1" applyFill="1" applyFont="1">
      <alignment horizontal="center" shrinkToFit="0" vertical="center" wrapText="1"/>
    </xf>
    <xf borderId="7" fillId="11" fontId="13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4" fontId="8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4" fillId="5" fontId="9" numFmtId="0" xfId="0" applyAlignment="1" applyBorder="1" applyFont="1">
      <alignment horizontal="left" readingOrder="0" shrinkToFit="0" vertical="center" wrapText="1"/>
    </xf>
    <xf borderId="13" fillId="12" fontId="3" numFmtId="0" xfId="0" applyAlignment="1" applyBorder="1" applyFill="1" applyFont="1">
      <alignment shrinkToFit="0" vertical="bottom" wrapText="0"/>
    </xf>
    <xf borderId="13" fillId="12" fontId="15" numFmtId="0" xfId="0" applyAlignment="1" applyBorder="1" applyFont="1">
      <alignment shrinkToFit="0" vertical="bottom" wrapText="0"/>
    </xf>
    <xf borderId="1" fillId="5" fontId="16" numFmtId="0" xfId="0" applyAlignment="1" applyBorder="1" applyFont="1">
      <alignment horizontal="center" readingOrder="0" shrinkToFit="0" vertical="center" wrapText="0"/>
    </xf>
    <xf borderId="1" fillId="13" fontId="17" numFmtId="0" xfId="0" applyAlignment="1" applyBorder="1" applyFill="1" applyFont="1">
      <alignment horizontal="center" shrinkToFit="0" vertical="center" wrapText="0"/>
    </xf>
    <xf borderId="1" fillId="14" fontId="18" numFmtId="0" xfId="0" applyAlignment="1" applyBorder="1" applyFill="1" applyFont="1">
      <alignment horizontal="center" shrinkToFit="0" vertical="center" wrapText="0"/>
    </xf>
    <xf borderId="13" fillId="12" fontId="19" numFmtId="0" xfId="0" applyAlignment="1" applyBorder="1" applyFont="1">
      <alignment horizontal="center" shrinkToFit="0" vertical="center" wrapText="0"/>
    </xf>
    <xf borderId="1" fillId="15" fontId="18" numFmtId="0" xfId="0" applyAlignment="1" applyBorder="1" applyFill="1" applyFont="1">
      <alignment horizontal="center" shrinkToFit="0" vertical="center" wrapText="0"/>
    </xf>
    <xf borderId="1" fillId="12" fontId="20" numFmtId="0" xfId="0" applyAlignment="1" applyBorder="1" applyFont="1">
      <alignment horizontal="center" shrinkToFit="0" vertical="bottom" wrapText="0"/>
    </xf>
    <xf borderId="1" fillId="12" fontId="21" numFmtId="0" xfId="0" applyAlignment="1" applyBorder="1" applyFont="1">
      <alignment horizontal="center" shrinkToFit="0" vertical="center" wrapText="0"/>
    </xf>
    <xf borderId="1" fillId="12" fontId="22" numFmtId="0" xfId="0" applyAlignment="1" applyBorder="1" applyFont="1">
      <alignment horizontal="center" shrinkToFit="0" vertical="center" wrapText="0"/>
    </xf>
    <xf borderId="13" fillId="12" fontId="23" numFmtId="0" xfId="0" applyAlignment="1" applyBorder="1" applyFont="1">
      <alignment horizontal="center" shrinkToFit="0" vertical="bottom" wrapText="0"/>
    </xf>
    <xf borderId="13" fillId="12" fontId="24" numFmtId="0" xfId="0" applyAlignment="1" applyBorder="1" applyFont="1">
      <alignment horizontal="center" shrinkToFit="0" vertical="center" wrapText="0"/>
    </xf>
    <xf borderId="13" fillId="13" fontId="25" numFmtId="0" xfId="0" applyAlignment="1" applyBorder="1" applyFont="1">
      <alignment horizontal="left" shrinkToFit="0" vertical="center" wrapText="0"/>
    </xf>
    <xf borderId="13" fillId="13" fontId="26" numFmtId="0" xfId="0" applyAlignment="1" applyBorder="1" applyFont="1">
      <alignment horizontal="center" shrinkToFit="0" vertical="center" wrapText="0"/>
    </xf>
    <xf borderId="13" fillId="12" fontId="27" numFmtId="0" xfId="0" applyAlignment="1" applyBorder="1" applyFont="1">
      <alignment horizontal="center" shrinkToFit="0" vertical="center" wrapText="0"/>
    </xf>
    <xf borderId="13" fillId="13" fontId="28" numFmtId="0" xfId="0" applyAlignment="1" applyBorder="1" applyFont="1">
      <alignment horizontal="center" shrinkToFit="0" vertical="center" wrapText="0"/>
    </xf>
    <xf borderId="13" fillId="13" fontId="25" numFmtId="0" xfId="0" applyAlignment="1" applyBorder="1" applyFont="1">
      <alignment horizontal="right" shrinkToFit="0" vertical="center" wrapText="0"/>
    </xf>
    <xf borderId="13" fillId="16" fontId="28" numFmtId="0" xfId="0" applyAlignment="1" applyBorder="1" applyFill="1" applyFont="1">
      <alignment horizontal="center" shrinkToFit="0" vertical="center" wrapText="0"/>
    </xf>
    <xf borderId="1" fillId="12" fontId="15" numFmtId="0" xfId="0" applyAlignment="1" applyBorder="1" applyFont="1">
      <alignment horizontal="center" shrinkToFit="0" vertical="bottom" wrapText="0"/>
    </xf>
    <xf borderId="1" fillId="12" fontId="29" numFmtId="0" xfId="0" applyAlignment="1" applyBorder="1" applyFont="1">
      <alignment horizontal="center" shrinkToFit="0" vertical="bottom" wrapText="0"/>
    </xf>
    <xf borderId="0" fillId="0" fontId="30" numFmtId="0" xfId="0" applyAlignment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0" fillId="0" fontId="30" numFmtId="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1E3A6E"/>
          <bgColor rgb="FF1E3A6E"/>
        </patternFill>
      </fill>
      <border/>
    </dxf>
    <dxf>
      <font/>
      <fill>
        <patternFill patternType="solid">
          <fgColor rgb="FF6E1E1E"/>
          <bgColor rgb="FF6E1E1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'결과화면'!$D$23</c:f>
            </c:strRef>
          </c:tx>
          <c:cat>
            <c:strRef>
              <c:f>'결과화면'!$C$24</c:f>
            </c:strRef>
          </c:cat>
          <c:val>
            <c:numRef>
              <c:f>'결과화면'!$D$24</c:f>
              <c:numCache/>
            </c:numRef>
          </c:val>
        </c:ser>
        <c:ser>
          <c:idx val="1"/>
          <c:order val="1"/>
          <c:tx>
            <c:strRef>
              <c:f>'결과화면'!$E$23</c:f>
            </c:strRef>
          </c:tx>
          <c:cat>
            <c:strRef>
              <c:f>'결과화면'!$C$24</c:f>
            </c:strRef>
          </c:cat>
          <c:val>
            <c:numRef>
              <c:f>'결과화면'!$E$24</c:f>
              <c:numCache/>
            </c:numRef>
          </c:val>
        </c:ser>
        <c:overlap val="100"/>
        <c:axId val="342114243"/>
        <c:axId val="1127870434"/>
      </c:barChart>
      <c:catAx>
        <c:axId val="3421142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7870434"/>
      </c:catAx>
      <c:valAx>
        <c:axId val="1127870434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342114243"/>
        <c:crosses val="max"/>
      </c:valAx>
    </c:plotArea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6</xdr:row>
      <xdr:rowOff>123825</xdr:rowOff>
    </xdr:from>
    <xdr:ext cx="5295900" cy="933450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6.0"/>
    <col customWidth="1" min="2" max="2" width="16.0"/>
    <col customWidth="1" min="3" max="3" width="24.0"/>
    <col customWidth="1" min="4" max="7" width="10.0"/>
    <col customWidth="1" min="8" max="8" width="12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25.5" customHeight="1">
      <c r="A2" s="5" t="s">
        <v>4</v>
      </c>
    </row>
    <row r="3" ht="16.5" customHeight="1">
      <c r="A3" s="6" t="s">
        <v>7</v>
      </c>
      <c r="B3" s="6" t="s">
        <v>9</v>
      </c>
      <c r="C3" s="6" t="s">
        <v>10</v>
      </c>
      <c r="D3" s="6" t="s">
        <v>12</v>
      </c>
      <c r="E3" s="6" t="s">
        <v>14</v>
      </c>
      <c r="F3" s="6" t="s">
        <v>16</v>
      </c>
      <c r="G3" s="6" t="s">
        <v>18</v>
      </c>
      <c r="H3" s="6" t="s">
        <v>20</v>
      </c>
    </row>
    <row r="4" ht="15.0" customHeight="1">
      <c r="A4" s="9">
        <f t="shared" ref="A4:A40" si="1">IF(B4&lt;&gt;"",ROW()-3,"")</f>
        <v>1</v>
      </c>
      <c r="B4" s="10" t="s">
        <v>33</v>
      </c>
      <c r="C4" s="10" t="s">
        <v>34</v>
      </c>
      <c r="D4" s="13" t="s">
        <v>37</v>
      </c>
      <c r="E4" s="13" t="s">
        <v>38</v>
      </c>
      <c r="F4" s="13" t="s">
        <v>39</v>
      </c>
      <c r="G4" s="13" t="s">
        <v>41</v>
      </c>
      <c r="H4" s="15" t="s">
        <v>42</v>
      </c>
    </row>
    <row r="5" ht="29.25" customHeight="1">
      <c r="A5" s="9">
        <f t="shared" si="1"/>
        <v>2</v>
      </c>
      <c r="B5" s="10" t="s">
        <v>43</v>
      </c>
      <c r="C5" s="10" t="s">
        <v>44</v>
      </c>
      <c r="D5" s="13" t="s">
        <v>38</v>
      </c>
      <c r="E5" s="13" t="s">
        <v>46</v>
      </c>
      <c r="F5" s="13" t="s">
        <v>37</v>
      </c>
      <c r="G5" s="13" t="s">
        <v>41</v>
      </c>
      <c r="H5" s="15" t="s">
        <v>48</v>
      </c>
    </row>
    <row r="6" ht="15.0" customHeight="1">
      <c r="A6" s="9">
        <f t="shared" si="1"/>
        <v>3</v>
      </c>
      <c r="B6" s="10" t="s">
        <v>51</v>
      </c>
      <c r="C6" s="10" t="s">
        <v>52</v>
      </c>
      <c r="D6" s="13" t="s">
        <v>37</v>
      </c>
      <c r="E6" s="13" t="s">
        <v>39</v>
      </c>
      <c r="F6" s="13" t="s">
        <v>38</v>
      </c>
      <c r="G6" s="13" t="s">
        <v>41</v>
      </c>
      <c r="H6" s="18" t="s">
        <v>53</v>
      </c>
    </row>
    <row r="7" ht="15.0" customHeight="1">
      <c r="A7" s="9">
        <f t="shared" si="1"/>
        <v>4</v>
      </c>
      <c r="B7" s="10" t="s">
        <v>54</v>
      </c>
      <c r="C7" s="19" t="s">
        <v>56</v>
      </c>
      <c r="D7" s="13" t="s">
        <v>37</v>
      </c>
      <c r="E7" s="13" t="s">
        <v>38</v>
      </c>
      <c r="F7" s="13" t="s">
        <v>39</v>
      </c>
      <c r="G7" s="13" t="s">
        <v>41</v>
      </c>
      <c r="H7" s="15" t="s">
        <v>58</v>
      </c>
    </row>
    <row r="8" ht="15.0" customHeight="1">
      <c r="A8" s="9">
        <f t="shared" si="1"/>
        <v>5</v>
      </c>
      <c r="B8" s="10" t="s">
        <v>62</v>
      </c>
      <c r="C8" s="19" t="s">
        <v>63</v>
      </c>
      <c r="D8" s="13" t="s">
        <v>38</v>
      </c>
      <c r="E8" s="13" t="s">
        <v>46</v>
      </c>
      <c r="F8" s="13" t="s">
        <v>41</v>
      </c>
      <c r="G8" s="13" t="s">
        <v>39</v>
      </c>
      <c r="H8" s="15" t="s">
        <v>64</v>
      </c>
    </row>
    <row r="9" ht="15.0" customHeight="1">
      <c r="A9" s="9">
        <f t="shared" si="1"/>
        <v>6</v>
      </c>
      <c r="B9" s="19" t="s">
        <v>66</v>
      </c>
      <c r="C9" s="10" t="s">
        <v>67</v>
      </c>
      <c r="D9" s="13" t="s">
        <v>41</v>
      </c>
      <c r="E9" s="15" t="s">
        <v>68</v>
      </c>
      <c r="F9" s="15" t="s">
        <v>68</v>
      </c>
      <c r="G9" s="15" t="s">
        <v>68</v>
      </c>
      <c r="H9" s="15" t="s">
        <v>69</v>
      </c>
    </row>
    <row r="10" ht="15.0" customHeight="1">
      <c r="A10" s="9">
        <f t="shared" si="1"/>
        <v>7</v>
      </c>
      <c r="B10" s="19" t="s">
        <v>70</v>
      </c>
      <c r="C10" s="10" t="s">
        <v>72</v>
      </c>
      <c r="D10" s="13" t="s">
        <v>46</v>
      </c>
      <c r="E10" s="13" t="s">
        <v>39</v>
      </c>
      <c r="F10" s="13" t="s">
        <v>38</v>
      </c>
      <c r="G10" s="13" t="s">
        <v>37</v>
      </c>
      <c r="H10" s="15" t="s">
        <v>73</v>
      </c>
    </row>
    <row r="11" ht="15.0" customHeight="1">
      <c r="A11" s="9">
        <f t="shared" si="1"/>
        <v>8</v>
      </c>
      <c r="B11" s="10" t="s">
        <v>75</v>
      </c>
      <c r="C11" s="10" t="s">
        <v>76</v>
      </c>
      <c r="D11" s="13" t="s">
        <v>41</v>
      </c>
      <c r="E11" s="13" t="s">
        <v>38</v>
      </c>
      <c r="F11" s="13" t="s">
        <v>39</v>
      </c>
      <c r="G11" s="13" t="s">
        <v>37</v>
      </c>
      <c r="H11" s="18" t="s">
        <v>71</v>
      </c>
    </row>
    <row r="12" ht="15.0" customHeight="1">
      <c r="A12" s="9">
        <f t="shared" si="1"/>
        <v>9</v>
      </c>
      <c r="B12" s="10" t="s">
        <v>78</v>
      </c>
      <c r="C12" s="10" t="s">
        <v>79</v>
      </c>
      <c r="D12" s="13" t="s">
        <v>41</v>
      </c>
      <c r="E12" s="15" t="s">
        <v>68</v>
      </c>
      <c r="F12" s="15" t="s">
        <v>68</v>
      </c>
      <c r="G12" s="15" t="s">
        <v>68</v>
      </c>
      <c r="H12" s="25" t="s">
        <v>65</v>
      </c>
    </row>
    <row r="13" ht="15.0" customHeight="1">
      <c r="A13" s="9">
        <f t="shared" si="1"/>
        <v>10</v>
      </c>
      <c r="B13" s="10" t="s">
        <v>81</v>
      </c>
      <c r="C13" s="10" t="s">
        <v>82</v>
      </c>
      <c r="D13" s="13" t="s">
        <v>37</v>
      </c>
      <c r="E13" s="13" t="s">
        <v>38</v>
      </c>
      <c r="F13" s="13" t="s">
        <v>39</v>
      </c>
      <c r="G13" s="13" t="s">
        <v>41</v>
      </c>
      <c r="H13" s="15" t="s">
        <v>84</v>
      </c>
    </row>
    <row r="14" ht="15.0" customHeight="1">
      <c r="A14" s="9">
        <f t="shared" si="1"/>
        <v>11</v>
      </c>
      <c r="B14" s="10" t="s">
        <v>85</v>
      </c>
      <c r="C14" s="10" t="s">
        <v>86</v>
      </c>
      <c r="D14" s="13" t="s">
        <v>37</v>
      </c>
      <c r="E14" s="13" t="s">
        <v>38</v>
      </c>
      <c r="F14" s="13" t="s">
        <v>39</v>
      </c>
      <c r="G14" s="15" t="s">
        <v>68</v>
      </c>
      <c r="H14" s="15" t="s">
        <v>88</v>
      </c>
    </row>
    <row r="15" ht="15.0" customHeight="1">
      <c r="A15" s="9">
        <f t="shared" si="1"/>
        <v>12</v>
      </c>
      <c r="B15" s="10" t="s">
        <v>89</v>
      </c>
      <c r="C15" s="10" t="s">
        <v>90</v>
      </c>
      <c r="D15" s="13" t="s">
        <v>41</v>
      </c>
      <c r="E15" s="13" t="s">
        <v>37</v>
      </c>
      <c r="F15" s="13" t="s">
        <v>38</v>
      </c>
      <c r="G15" s="13" t="s">
        <v>39</v>
      </c>
      <c r="H15" s="15" t="s">
        <v>92</v>
      </c>
    </row>
    <row r="16" ht="15.0" customHeight="1">
      <c r="A16" s="9">
        <f t="shared" si="1"/>
        <v>13</v>
      </c>
      <c r="B16" s="10" t="s">
        <v>93</v>
      </c>
      <c r="C16" s="10" t="s">
        <v>94</v>
      </c>
      <c r="D16" s="13" t="s">
        <v>38</v>
      </c>
      <c r="E16" s="15" t="s">
        <v>68</v>
      </c>
      <c r="F16" s="15" t="s">
        <v>68</v>
      </c>
      <c r="G16" s="15" t="s">
        <v>68</v>
      </c>
      <c r="H16" s="25" t="s">
        <v>87</v>
      </c>
    </row>
    <row r="17" ht="15.0" customHeight="1">
      <c r="A17" s="9">
        <f t="shared" si="1"/>
        <v>14</v>
      </c>
      <c r="B17" s="10" t="s">
        <v>97</v>
      </c>
      <c r="C17" s="10" t="s">
        <v>98</v>
      </c>
      <c r="D17" s="13" t="s">
        <v>39</v>
      </c>
      <c r="E17" s="13" t="s">
        <v>46</v>
      </c>
      <c r="F17" s="13" t="s">
        <v>38</v>
      </c>
      <c r="G17" s="13" t="s">
        <v>37</v>
      </c>
      <c r="H17" s="18" t="s">
        <v>99</v>
      </c>
    </row>
    <row r="18" ht="15.0" customHeight="1">
      <c r="A18" s="9">
        <f t="shared" si="1"/>
        <v>15</v>
      </c>
      <c r="B18" s="10" t="s">
        <v>100</v>
      </c>
      <c r="C18" s="10" t="s">
        <v>101</v>
      </c>
      <c r="D18" s="13" t="s">
        <v>39</v>
      </c>
      <c r="E18" s="13" t="s">
        <v>41</v>
      </c>
      <c r="F18" s="13" t="s">
        <v>38</v>
      </c>
      <c r="G18" s="13" t="s">
        <v>37</v>
      </c>
      <c r="H18" s="15" t="s">
        <v>104</v>
      </c>
    </row>
    <row r="19" ht="15.0" customHeight="1">
      <c r="A19" s="9">
        <f t="shared" si="1"/>
        <v>16</v>
      </c>
      <c r="B19" s="10" t="s">
        <v>105</v>
      </c>
      <c r="C19" s="10" t="s">
        <v>106</v>
      </c>
      <c r="D19" s="13" t="s">
        <v>39</v>
      </c>
      <c r="E19" s="13" t="s">
        <v>37</v>
      </c>
      <c r="F19" s="13" t="s">
        <v>46</v>
      </c>
      <c r="G19" s="13" t="s">
        <v>41</v>
      </c>
      <c r="H19" s="15" t="s">
        <v>108</v>
      </c>
    </row>
    <row r="20" ht="15.0" customHeight="1">
      <c r="A20" s="9">
        <f t="shared" si="1"/>
        <v>17</v>
      </c>
      <c r="B20" s="10" t="s">
        <v>109</v>
      </c>
      <c r="C20" s="10" t="s">
        <v>110</v>
      </c>
      <c r="D20" s="13" t="s">
        <v>37</v>
      </c>
      <c r="E20" s="13" t="s">
        <v>39</v>
      </c>
      <c r="F20" s="13" t="s">
        <v>38</v>
      </c>
      <c r="G20" s="13" t="s">
        <v>41</v>
      </c>
      <c r="H20" s="15" t="s">
        <v>112</v>
      </c>
    </row>
    <row r="21" ht="15.0" customHeight="1">
      <c r="A21" s="9">
        <f t="shared" si="1"/>
        <v>18</v>
      </c>
      <c r="B21" s="10" t="s">
        <v>113</v>
      </c>
      <c r="C21" s="10" t="s">
        <v>115</v>
      </c>
      <c r="D21" s="13" t="s">
        <v>46</v>
      </c>
      <c r="E21" s="13" t="s">
        <v>38</v>
      </c>
      <c r="F21" s="13" t="s">
        <v>37</v>
      </c>
      <c r="G21" s="13" t="s">
        <v>39</v>
      </c>
      <c r="H21" s="18" t="s">
        <v>53</v>
      </c>
    </row>
    <row r="22" ht="29.25" customHeight="1">
      <c r="A22" s="9">
        <f t="shared" si="1"/>
        <v>19</v>
      </c>
      <c r="B22" s="10" t="s">
        <v>116</v>
      </c>
      <c r="C22" s="10" t="s">
        <v>117</v>
      </c>
      <c r="D22" s="13" t="s">
        <v>37</v>
      </c>
      <c r="E22" s="13" t="s">
        <v>38</v>
      </c>
      <c r="F22" s="13" t="s">
        <v>46</v>
      </c>
      <c r="G22" s="13" t="s">
        <v>39</v>
      </c>
      <c r="H22" s="15" t="s">
        <v>119</v>
      </c>
    </row>
    <row r="23" ht="15.0" customHeight="1">
      <c r="A23" s="9" t="str">
        <f t="shared" si="1"/>
        <v/>
      </c>
      <c r="B23" s="10"/>
      <c r="C23" s="10"/>
      <c r="D23" s="15"/>
      <c r="E23" s="15"/>
      <c r="F23" s="15"/>
      <c r="G23" s="15"/>
      <c r="H23" s="15"/>
    </row>
    <row r="24" ht="15.0" customHeight="1">
      <c r="A24" s="9" t="str">
        <f t="shared" si="1"/>
        <v/>
      </c>
      <c r="B24" s="10"/>
      <c r="C24" s="10"/>
      <c r="D24" s="15"/>
      <c r="E24" s="15"/>
      <c r="F24" s="15"/>
      <c r="G24" s="15"/>
      <c r="H24" s="15"/>
    </row>
    <row r="25" ht="15.0" customHeight="1">
      <c r="A25" s="9" t="str">
        <f t="shared" si="1"/>
        <v/>
      </c>
      <c r="B25" s="10"/>
      <c r="C25" s="10"/>
      <c r="D25" s="15"/>
      <c r="E25" s="15"/>
      <c r="F25" s="15"/>
      <c r="G25" s="15"/>
      <c r="H25" s="15"/>
    </row>
    <row r="26" ht="15.0" customHeight="1">
      <c r="A26" s="9" t="str">
        <f t="shared" si="1"/>
        <v/>
      </c>
      <c r="B26" s="10"/>
      <c r="C26" s="10"/>
      <c r="D26" s="15"/>
      <c r="E26" s="15"/>
      <c r="F26" s="15"/>
      <c r="G26" s="15"/>
      <c r="H26" s="15"/>
    </row>
    <row r="27" ht="15.0" customHeight="1">
      <c r="A27" s="9" t="str">
        <f t="shared" si="1"/>
        <v/>
      </c>
      <c r="B27" s="10"/>
      <c r="C27" s="10"/>
      <c r="D27" s="15"/>
      <c r="E27" s="15"/>
      <c r="F27" s="15"/>
      <c r="G27" s="15"/>
      <c r="H27" s="15"/>
    </row>
    <row r="28" ht="15.0" customHeight="1">
      <c r="A28" s="9" t="str">
        <f t="shared" si="1"/>
        <v/>
      </c>
      <c r="B28" s="10"/>
      <c r="C28" s="10"/>
      <c r="D28" s="15"/>
      <c r="E28" s="15"/>
      <c r="F28" s="15"/>
      <c r="G28" s="15"/>
      <c r="H28" s="15"/>
    </row>
    <row r="29" ht="15.0" customHeight="1">
      <c r="A29" s="9" t="str">
        <f t="shared" si="1"/>
        <v/>
      </c>
      <c r="B29" s="10"/>
      <c r="C29" s="10"/>
      <c r="D29" s="15"/>
      <c r="E29" s="15"/>
      <c r="F29" s="15"/>
      <c r="G29" s="15"/>
      <c r="H29" s="15"/>
    </row>
    <row r="30" ht="15.0" customHeight="1">
      <c r="A30" s="9" t="str">
        <f t="shared" si="1"/>
        <v/>
      </c>
      <c r="B30" s="10"/>
      <c r="C30" s="10"/>
      <c r="D30" s="15"/>
      <c r="E30" s="15"/>
      <c r="F30" s="15"/>
      <c r="G30" s="15"/>
      <c r="H30" s="15"/>
    </row>
    <row r="31" ht="15.0" customHeight="1">
      <c r="A31" s="9" t="str">
        <f t="shared" si="1"/>
        <v/>
      </c>
      <c r="B31" s="10"/>
      <c r="C31" s="10"/>
      <c r="D31" s="15"/>
      <c r="E31" s="15"/>
      <c r="F31" s="15"/>
      <c r="G31" s="15"/>
      <c r="H31" s="15"/>
    </row>
    <row r="32" ht="15.0" customHeight="1">
      <c r="A32" s="9" t="str">
        <f t="shared" si="1"/>
        <v/>
      </c>
      <c r="B32" s="10"/>
      <c r="C32" s="10"/>
      <c r="D32" s="15"/>
      <c r="E32" s="15"/>
      <c r="F32" s="15"/>
      <c r="G32" s="15"/>
      <c r="H32" s="15"/>
    </row>
    <row r="33" ht="15.0" customHeight="1">
      <c r="A33" s="9" t="str">
        <f t="shared" si="1"/>
        <v/>
      </c>
      <c r="B33" s="10"/>
      <c r="C33" s="10"/>
      <c r="D33" s="15"/>
      <c r="E33" s="15"/>
      <c r="F33" s="15"/>
      <c r="G33" s="15"/>
      <c r="H33" s="15"/>
    </row>
    <row r="34" ht="15.0" customHeight="1">
      <c r="A34" s="9" t="str">
        <f t="shared" si="1"/>
        <v/>
      </c>
      <c r="B34" s="10"/>
      <c r="C34" s="10"/>
      <c r="D34" s="15"/>
      <c r="E34" s="15"/>
      <c r="F34" s="15"/>
      <c r="G34" s="15"/>
      <c r="H34" s="15"/>
    </row>
    <row r="35" ht="15.0" customHeight="1">
      <c r="A35" s="9" t="str">
        <f t="shared" si="1"/>
        <v/>
      </c>
      <c r="B35" s="10"/>
      <c r="C35" s="10"/>
      <c r="D35" s="15"/>
      <c r="E35" s="15"/>
      <c r="F35" s="15"/>
      <c r="G35" s="15"/>
      <c r="H35" s="15"/>
    </row>
    <row r="36" ht="15.0" customHeight="1">
      <c r="A36" s="9" t="str">
        <f t="shared" si="1"/>
        <v/>
      </c>
      <c r="B36" s="10"/>
      <c r="C36" s="10"/>
      <c r="D36" s="15"/>
      <c r="E36" s="15"/>
      <c r="F36" s="15"/>
      <c r="G36" s="15"/>
      <c r="H36" s="15"/>
    </row>
    <row r="37" ht="15.0" customHeight="1">
      <c r="A37" s="9" t="str">
        <f t="shared" si="1"/>
        <v/>
      </c>
      <c r="B37" s="10"/>
      <c r="C37" s="10"/>
      <c r="D37" s="15"/>
      <c r="E37" s="15"/>
      <c r="F37" s="15"/>
      <c r="G37" s="15"/>
      <c r="H37" s="15"/>
    </row>
    <row r="38" ht="15.0" customHeight="1">
      <c r="A38" s="9" t="str">
        <f t="shared" si="1"/>
        <v/>
      </c>
      <c r="B38" s="10"/>
      <c r="C38" s="10"/>
      <c r="D38" s="15"/>
      <c r="E38" s="15"/>
      <c r="F38" s="15"/>
      <c r="G38" s="15"/>
      <c r="H38" s="15"/>
    </row>
    <row r="39" ht="15.0" customHeight="1">
      <c r="A39" s="9" t="str">
        <f t="shared" si="1"/>
        <v/>
      </c>
      <c r="B39" s="10"/>
      <c r="C39" s="10"/>
      <c r="D39" s="15"/>
      <c r="E39" s="15"/>
      <c r="F39" s="15"/>
      <c r="G39" s="15"/>
      <c r="H39" s="15"/>
    </row>
    <row r="40" ht="15.0" customHeight="1">
      <c r="A40" s="9" t="str">
        <f t="shared" si="1"/>
        <v/>
      </c>
      <c r="B40" s="10"/>
      <c r="C40" s="10"/>
      <c r="D40" s="15"/>
      <c r="E40" s="15"/>
      <c r="F40" s="15"/>
      <c r="G40" s="15"/>
      <c r="H40" s="15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2">
    <mergeCell ref="A1:G1"/>
    <mergeCell ref="A2:G2"/>
  </mergeCells>
  <dataValidations>
    <dataValidation type="list" allowBlank="1" sqref="H4:H40">
      <formula1>'설정'!$A$4:$A$34</formula1>
    </dataValidation>
    <dataValidation type="list" allowBlank="1" sqref="D4:G40">
      <formula1>'설정'!$D$4:$D$9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0.0"/>
    <col customWidth="1" min="4" max="4" width="3.0"/>
    <col customWidth="1" min="5" max="5" width="22.0"/>
    <col customWidth="1" min="6" max="6" width="16.0"/>
    <col customWidth="1" min="7" max="7" width="10.0"/>
    <col customWidth="1" min="8" max="8" width="8.71"/>
  </cols>
  <sheetData>
    <row r="1" ht="27.75" customHeight="1">
      <c r="A1" s="1" t="s">
        <v>3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7" t="s">
        <v>6</v>
      </c>
      <c r="B2" s="8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16" t="s">
        <v>45</v>
      </c>
      <c r="B4" s="2"/>
      <c r="C4" s="3"/>
      <c r="D4" s="4"/>
      <c r="E4" s="17" t="s">
        <v>50</v>
      </c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20" t="s">
        <v>57</v>
      </c>
      <c r="B5" s="20" t="s">
        <v>59</v>
      </c>
      <c r="C5" s="20" t="s">
        <v>60</v>
      </c>
      <c r="D5" s="4"/>
      <c r="E5" s="21" t="s">
        <v>57</v>
      </c>
      <c r="F5" s="21" t="s">
        <v>59</v>
      </c>
      <c r="G5" s="21" t="s">
        <v>60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75" customHeight="1">
      <c r="A6" s="22" t="s">
        <v>37</v>
      </c>
      <c r="B6" s="23"/>
      <c r="C6" s="24"/>
      <c r="D6" s="9"/>
      <c r="E6" s="22" t="s">
        <v>37</v>
      </c>
      <c r="F6" s="23"/>
      <c r="G6" s="2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22" t="s">
        <v>39</v>
      </c>
      <c r="B7" s="23"/>
      <c r="C7" s="24"/>
      <c r="D7" s="9"/>
      <c r="E7" s="22" t="s">
        <v>39</v>
      </c>
      <c r="F7" s="23"/>
      <c r="G7" s="2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8.0" customHeight="1">
      <c r="A8" s="22" t="s">
        <v>38</v>
      </c>
      <c r="B8" s="23"/>
      <c r="C8" s="24"/>
      <c r="D8" s="9"/>
      <c r="E8" s="22" t="s">
        <v>38</v>
      </c>
      <c r="F8" s="23"/>
      <c r="G8" s="2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22" t="s">
        <v>46</v>
      </c>
      <c r="B9" s="23"/>
      <c r="C9" s="24"/>
      <c r="D9" s="9"/>
      <c r="E9" s="22" t="s">
        <v>46</v>
      </c>
      <c r="F9" s="26"/>
      <c r="G9" s="2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75" customHeight="1">
      <c r="A10" s="22" t="s">
        <v>41</v>
      </c>
      <c r="B10" s="23"/>
      <c r="C10" s="24"/>
      <c r="D10" s="9"/>
      <c r="E10" s="22" t="s">
        <v>41</v>
      </c>
      <c r="F10" s="26"/>
      <c r="G10" s="2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7" t="s">
        <v>95</v>
      </c>
      <c r="B12" s="9"/>
      <c r="C12" s="9">
        <f>SUM(C6:C10)</f>
        <v>0</v>
      </c>
      <c r="D12" s="9"/>
      <c r="E12" s="28" t="s">
        <v>95</v>
      </c>
      <c r="F12" s="9"/>
      <c r="G12" s="9">
        <f>SUM(G6:G10)</f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7" t="s">
        <v>103</v>
      </c>
      <c r="B13" s="9"/>
      <c r="C13" s="9">
        <f>IFERROR(AVERAGE(C6:C10),0)</f>
        <v>0</v>
      </c>
      <c r="D13" s="9"/>
      <c r="E13" s="28" t="s">
        <v>103</v>
      </c>
      <c r="F13" s="9"/>
      <c r="G13" s="9">
        <f>IFERROR(AVERAGE(G6:G10),0)</f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9" t="s">
        <v>111</v>
      </c>
      <c r="B14" s="30"/>
      <c r="C14" s="31">
        <f>ABS(C12-G12)</f>
        <v>0</v>
      </c>
      <c r="D14" s="9"/>
      <c r="E14" s="9"/>
      <c r="F14" s="9"/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32"/>
      <c r="B17" s="33"/>
      <c r="C17" s="32"/>
      <c r="D17" s="33"/>
      <c r="E17" s="32"/>
      <c r="F17" s="3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34"/>
      <c r="B18" s="35"/>
      <c r="C18" s="34"/>
      <c r="D18" s="35"/>
      <c r="E18" s="34"/>
      <c r="F18" s="3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36"/>
      <c r="B19" s="37"/>
      <c r="C19" s="36"/>
      <c r="D19" s="37"/>
      <c r="E19" s="36"/>
      <c r="F19" s="3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H1"/>
    <mergeCell ref="B2:C2"/>
    <mergeCell ref="A4:C4"/>
    <mergeCell ref="E4:G4"/>
    <mergeCell ref="A14:B14"/>
    <mergeCell ref="A17:B19"/>
    <mergeCell ref="C17:D19"/>
    <mergeCell ref="E17:F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8.0"/>
    <col customWidth="1" min="3" max="12" width="12.0"/>
    <col customWidth="1" min="13" max="15" width="10.0"/>
  </cols>
  <sheetData>
    <row r="1" ht="27.7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6" t="s">
        <v>5</v>
      </c>
      <c r="B2" s="6" t="s">
        <v>8</v>
      </c>
      <c r="C2" s="6" t="s">
        <v>11</v>
      </c>
      <c r="D2" s="6" t="s">
        <v>13</v>
      </c>
      <c r="E2" s="6" t="s">
        <v>15</v>
      </c>
      <c r="F2" s="6" t="s">
        <v>17</v>
      </c>
      <c r="G2" s="6" t="s">
        <v>19</v>
      </c>
      <c r="H2" s="6" t="s">
        <v>21</v>
      </c>
      <c r="I2" s="6" t="s">
        <v>22</v>
      </c>
      <c r="J2" s="6" t="s">
        <v>23</v>
      </c>
      <c r="K2" s="6" t="s">
        <v>25</v>
      </c>
      <c r="L2" s="6" t="s">
        <v>27</v>
      </c>
      <c r="M2" s="6" t="s">
        <v>29</v>
      </c>
      <c r="N2" s="6" t="s">
        <v>31</v>
      </c>
      <c r="O2" s="6" t="s">
        <v>32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1" t="s">
        <v>35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O1"/>
    <mergeCell ref="A3:O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3.0"/>
    <col customWidth="1" min="4" max="4" width="14.0"/>
    <col customWidth="1" min="5" max="5" width="12.0"/>
    <col customWidth="1" min="6" max="6" width="8.71"/>
  </cols>
  <sheetData>
    <row r="1" ht="27.75" customHeight="1">
      <c r="A1" s="1" t="s">
        <v>1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 t="s">
        <v>24</v>
      </c>
      <c r="B3" s="6" t="s">
        <v>26</v>
      </c>
      <c r="C3" s="4"/>
      <c r="D3" s="6" t="s">
        <v>28</v>
      </c>
      <c r="E3" s="6" t="s">
        <v>30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2" t="s">
        <v>36</v>
      </c>
      <c r="B4" s="12">
        <v>1.0</v>
      </c>
      <c r="C4" s="4"/>
      <c r="D4" s="14" t="s">
        <v>37</v>
      </c>
      <c r="E4" s="14" t="s">
        <v>40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2" t="s">
        <v>47</v>
      </c>
      <c r="B5" s="12">
        <v>2.0</v>
      </c>
      <c r="C5" s="4"/>
      <c r="D5" s="14" t="s">
        <v>39</v>
      </c>
      <c r="E5" s="14" t="s">
        <v>49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2" t="s">
        <v>55</v>
      </c>
      <c r="B6" s="12">
        <v>3.0</v>
      </c>
      <c r="C6" s="4"/>
      <c r="D6" s="14" t="s">
        <v>38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2" t="s">
        <v>61</v>
      </c>
      <c r="B7" s="12">
        <v>4.0</v>
      </c>
      <c r="C7" s="4"/>
      <c r="D7" s="14" t="s">
        <v>46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2" t="s">
        <v>65</v>
      </c>
      <c r="B8" s="12">
        <v>5.0</v>
      </c>
      <c r="C8" s="4"/>
      <c r="D8" s="14" t="s">
        <v>41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2" t="s">
        <v>71</v>
      </c>
      <c r="B9" s="12">
        <v>6.0</v>
      </c>
      <c r="C9" s="4"/>
      <c r="D9" s="12" t="s">
        <v>68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" t="s">
        <v>74</v>
      </c>
      <c r="B10" s="12">
        <v>7.0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2" t="s">
        <v>77</v>
      </c>
      <c r="B11" s="12">
        <v>8.0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2" t="s">
        <v>80</v>
      </c>
      <c r="B12" s="12">
        <v>9.0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2" t="s">
        <v>83</v>
      </c>
      <c r="B13" s="12">
        <v>10.0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2" t="s">
        <v>87</v>
      </c>
      <c r="B14" s="12">
        <v>11.0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2" t="s">
        <v>91</v>
      </c>
      <c r="B15" s="12">
        <v>12.0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2" t="s">
        <v>96</v>
      </c>
      <c r="B16" s="12">
        <v>13.0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2" t="s">
        <v>99</v>
      </c>
      <c r="B17" s="12">
        <v>14.0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2" t="s">
        <v>102</v>
      </c>
      <c r="B18" s="12">
        <v>15.0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2" t="s">
        <v>107</v>
      </c>
      <c r="B19" s="12">
        <v>16.0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" t="s">
        <v>114</v>
      </c>
      <c r="B20" s="12">
        <v>17.0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" t="s">
        <v>118</v>
      </c>
      <c r="B21" s="12">
        <v>18.0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" t="s">
        <v>120</v>
      </c>
      <c r="B22" s="12">
        <v>19.0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 t="s">
        <v>121</v>
      </c>
      <c r="B23" s="12">
        <v>20.0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 t="s">
        <v>122</v>
      </c>
      <c r="B24" s="12">
        <v>21.0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" t="s">
        <v>123</v>
      </c>
      <c r="B25" s="12">
        <v>22.0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" t="s">
        <v>124</v>
      </c>
      <c r="B26" s="12">
        <v>23.0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" t="s">
        <v>53</v>
      </c>
      <c r="B27" s="12">
        <v>24.0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" t="s">
        <v>125</v>
      </c>
      <c r="B28" s="12">
        <v>25.0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2" t="s">
        <v>126</v>
      </c>
      <c r="B29" s="12">
        <v>26.0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2" t="s">
        <v>127</v>
      </c>
      <c r="B30" s="12">
        <v>27.0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 t="s">
        <v>128</v>
      </c>
      <c r="B31" s="12">
        <v>28.0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 t="s">
        <v>129</v>
      </c>
      <c r="B32" s="12">
        <v>29.0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 t="s">
        <v>130</v>
      </c>
      <c r="B33" s="12">
        <v>30.0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" t="s">
        <v>131</v>
      </c>
      <c r="B34" s="12">
        <v>31.0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31.0"/>
    <col customWidth="1" min="4" max="4" width="10.0"/>
    <col customWidth="1" min="5" max="5" width="12.0"/>
    <col customWidth="1" min="6" max="10" width="10.0"/>
    <col customWidth="1" min="11" max="12" width="9.0"/>
  </cols>
  <sheetData>
    <row r="1" ht="27.75" customHeight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133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 t="s">
        <v>7</v>
      </c>
      <c r="B3" s="6" t="s">
        <v>9</v>
      </c>
      <c r="C3" s="6" t="s">
        <v>10</v>
      </c>
      <c r="D3" s="6" t="s">
        <v>30</v>
      </c>
      <c r="E3" s="6" t="s">
        <v>24</v>
      </c>
      <c r="F3" s="6" t="s">
        <v>26</v>
      </c>
      <c r="G3" s="6" t="s">
        <v>12</v>
      </c>
      <c r="H3" s="6" t="s">
        <v>14</v>
      </c>
      <c r="I3" s="6" t="s">
        <v>16</v>
      </c>
      <c r="J3" s="6" t="s">
        <v>18</v>
      </c>
      <c r="K3" s="6" t="s">
        <v>134</v>
      </c>
      <c r="L3" s="6" t="s">
        <v>135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9" t="str">
        <f t="shared" ref="A4:A40" si="1">IF(B4&lt;&gt;"",ROW()-3,"")</f>
        <v/>
      </c>
      <c r="B4" s="38" t="str">
        <f t="array" ref="B4">IFERROR(INDEX('명단입력'!$B$4:$B$40,MATCH(1,'명단입력'!$K$4:$K$40,0)),"")</f>
        <v/>
      </c>
      <c r="C4" s="38" t="str">
        <f t="array" ref="C4">IFERROR(INDEX('명단입력'!$C$4:$C$40,MATCH(1,'명단입력'!$K$4:$K$40,0)),"")</f>
        <v/>
      </c>
      <c r="D4" s="39" t="str">
        <f t="array" ref="D4">IFERROR(INDEX('명단입력'!$D$4:$D$40,MATCH(1,'명단입력'!$K$4:$K$40,0)),"")</f>
        <v/>
      </c>
      <c r="E4" s="39" t="str">
        <f t="array" ref="E4">IFERROR(INDEX('명단입력'!$E$4:$E$40,MATCH(1,'명단입력'!$K$4:$K$40,0)),"")</f>
        <v/>
      </c>
      <c r="F4" s="39" t="str">
        <f t="array" ref="F4">IFERROR(INDEX('설정'!$B$4:$B$34,MATCH(E4,'설정'!$A$4:$A$34,0)),"")</f>
        <v/>
      </c>
      <c r="G4" s="39" t="str">
        <f t="array" ref="G4">IFERROR(INDEX('명단입력'!$F$4:$F$40,MATCH(1,'명단입력'!$K$4:$K$40,0)),"")</f>
        <v/>
      </c>
      <c r="H4" s="39" t="str">
        <f t="array" ref="H4">IFERROR(INDEX('명단입력'!$G$4:$G$40,MATCH(1,'명단입력'!$K$4:$K$40,0)),"")</f>
        <v/>
      </c>
      <c r="I4" s="39" t="str">
        <f t="array" ref="I4">IFERROR(INDEX('명단입력'!$H$4:$H$40,MATCH(1,'명단입력'!$K$4:$K$40,0)),"")</f>
        <v/>
      </c>
      <c r="J4" s="39" t="str">
        <f t="array" ref="J4">IFERROR(INDEX('명단입력'!$I$4:$I$40,MATCH(1,'명단입력'!$K$4:$K$40,0)),"")</f>
        <v/>
      </c>
      <c r="K4" s="9" t="str">
        <f t="shared" ref="K4:K40" si="2">IF(B4&lt;&gt;"",RAND(),"")</f>
        <v/>
      </c>
      <c r="L4" s="9" t="str">
        <f t="shared" ref="L4:L40" si="3">IFERROR(RANK(K4,$K$4:$K$40),"")</f>
        <v/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9" t="str">
        <f t="shared" si="1"/>
        <v/>
      </c>
      <c r="B5" s="38" t="str">
        <f t="array" ref="B5">IFERROR(INDEX('명단입력'!$B$4:$B$40,MATCH(2,'명단입력'!$K$4:$K$40,0)),"")</f>
        <v/>
      </c>
      <c r="C5" s="38" t="str">
        <f t="array" ref="C5">IFERROR(INDEX('명단입력'!$C$4:$C$40,MATCH(2,'명단입력'!$K$4:$K$40,0)),"")</f>
        <v/>
      </c>
      <c r="D5" s="39" t="str">
        <f t="array" ref="D5">IFERROR(INDEX('명단입력'!$D$4:$D$40,MATCH(2,'명단입력'!$K$4:$K$40,0)),"")</f>
        <v/>
      </c>
      <c r="E5" s="39" t="str">
        <f t="array" ref="E5">IFERROR(INDEX('명단입력'!$E$4:$E$40,MATCH(2,'명단입력'!$K$4:$K$40,0)),"")</f>
        <v/>
      </c>
      <c r="F5" s="39" t="str">
        <f t="array" ref="F5">IFERROR(INDEX('설정'!$B$4:$B$34,MATCH(E5,'설정'!$A$4:$A$34,0)),"")</f>
        <v/>
      </c>
      <c r="G5" s="39" t="str">
        <f t="array" ref="G5">IFERROR(INDEX('명단입력'!$F$4:$F$40,MATCH(2,'명단입력'!$K$4:$K$40,0)),"")</f>
        <v/>
      </c>
      <c r="H5" s="39" t="str">
        <f t="array" ref="H5">IFERROR(INDEX('명단입력'!$G$4:$G$40,MATCH(2,'명단입력'!$K$4:$K$40,0)),"")</f>
        <v/>
      </c>
      <c r="I5" s="39" t="str">
        <f t="array" ref="I5">IFERROR(INDEX('명단입력'!$H$4:$H$40,MATCH(2,'명단입력'!$K$4:$K$40,0)),"")</f>
        <v/>
      </c>
      <c r="J5" s="39" t="str">
        <f t="array" ref="J5">IFERROR(INDEX('명단입력'!$I$4:$I$40,MATCH(2,'명단입력'!$K$4:$K$40,0)),"")</f>
        <v/>
      </c>
      <c r="K5" s="9" t="str">
        <f t="shared" si="2"/>
        <v/>
      </c>
      <c r="L5" s="9" t="str">
        <f t="shared" si="3"/>
        <v/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9" t="str">
        <f t="shared" si="1"/>
        <v/>
      </c>
      <c r="B6" s="38" t="str">
        <f t="array" ref="B6">IFERROR(INDEX('명단입력'!$B$4:$B$40,MATCH(3,'명단입력'!$K$4:$K$40,0)),"")</f>
        <v/>
      </c>
      <c r="C6" s="38" t="str">
        <f t="array" ref="C6">IFERROR(INDEX('명단입력'!$C$4:$C$40,MATCH(3,'명단입력'!$K$4:$K$40,0)),"")</f>
        <v/>
      </c>
      <c r="D6" s="39" t="str">
        <f t="array" ref="D6">IFERROR(INDEX('명단입력'!$D$4:$D$40,MATCH(3,'명단입력'!$K$4:$K$40,0)),"")</f>
        <v/>
      </c>
      <c r="E6" s="39" t="str">
        <f t="array" ref="E6">IFERROR(INDEX('명단입력'!$E$4:$E$40,MATCH(3,'명단입력'!$K$4:$K$40,0)),"")</f>
        <v/>
      </c>
      <c r="F6" s="39" t="str">
        <f t="array" ref="F6">IFERROR(INDEX('설정'!$B$4:$B$34,MATCH(E6,'설정'!$A$4:$A$34,0)),"")</f>
        <v/>
      </c>
      <c r="G6" s="39" t="str">
        <f t="array" ref="G6">IFERROR(INDEX('명단입력'!$F$4:$F$40,MATCH(3,'명단입력'!$K$4:$K$40,0)),"")</f>
        <v/>
      </c>
      <c r="H6" s="39" t="str">
        <f t="array" ref="H6">IFERROR(INDEX('명단입력'!$G$4:$G$40,MATCH(3,'명단입력'!$K$4:$K$40,0)),"")</f>
        <v/>
      </c>
      <c r="I6" s="39" t="str">
        <f t="array" ref="I6">IFERROR(INDEX('명단입력'!$H$4:$H$40,MATCH(3,'명단입력'!$K$4:$K$40,0)),"")</f>
        <v/>
      </c>
      <c r="J6" s="39" t="str">
        <f t="array" ref="J6">IFERROR(INDEX('명단입력'!$I$4:$I$40,MATCH(3,'명단입력'!$K$4:$K$40,0)),"")</f>
        <v/>
      </c>
      <c r="K6" s="9" t="str">
        <f t="shared" si="2"/>
        <v/>
      </c>
      <c r="L6" s="9" t="str">
        <f t="shared" si="3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9" t="str">
        <f t="shared" si="1"/>
        <v/>
      </c>
      <c r="B7" s="38" t="str">
        <f t="array" ref="B7">IFERROR(INDEX('명단입력'!$B$4:$B$40,MATCH(4,'명단입력'!$K$4:$K$40,0)),"")</f>
        <v/>
      </c>
      <c r="C7" s="38" t="str">
        <f t="array" ref="C7">IFERROR(INDEX('명단입력'!$C$4:$C$40,MATCH(4,'명단입력'!$K$4:$K$40,0)),"")</f>
        <v/>
      </c>
      <c r="D7" s="39" t="str">
        <f t="array" ref="D7">IFERROR(INDEX('명단입력'!$D$4:$D$40,MATCH(4,'명단입력'!$K$4:$K$40,0)),"")</f>
        <v/>
      </c>
      <c r="E7" s="39" t="str">
        <f t="array" ref="E7">IFERROR(INDEX('명단입력'!$E$4:$E$40,MATCH(4,'명단입력'!$K$4:$K$40,0)),"")</f>
        <v/>
      </c>
      <c r="F7" s="39" t="str">
        <f t="array" ref="F7">IFERROR(INDEX('설정'!$B$4:$B$34,MATCH(E7,'설정'!$A$4:$A$34,0)),"")</f>
        <v/>
      </c>
      <c r="G7" s="39" t="str">
        <f t="array" ref="G7">IFERROR(INDEX('명단입력'!$F$4:$F$40,MATCH(4,'명단입력'!$K$4:$K$40,0)),"")</f>
        <v/>
      </c>
      <c r="H7" s="39" t="str">
        <f t="array" ref="H7">IFERROR(INDEX('명단입력'!$G$4:$G$40,MATCH(4,'명단입력'!$K$4:$K$40,0)),"")</f>
        <v/>
      </c>
      <c r="I7" s="39" t="str">
        <f t="array" ref="I7">IFERROR(INDEX('명단입력'!$H$4:$H$40,MATCH(4,'명단입력'!$K$4:$K$40,0)),"")</f>
        <v/>
      </c>
      <c r="J7" s="39" t="str">
        <f t="array" ref="J7">IFERROR(INDEX('명단입력'!$I$4:$I$40,MATCH(4,'명단입력'!$K$4:$K$40,0)),"")</f>
        <v/>
      </c>
      <c r="K7" s="9" t="str">
        <f t="shared" si="2"/>
        <v/>
      </c>
      <c r="L7" s="9" t="str">
        <f t="shared" si="3"/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9" t="str">
        <f t="shared" si="1"/>
        <v/>
      </c>
      <c r="B8" s="38" t="str">
        <f t="array" ref="B8">IFERROR(INDEX('명단입력'!$B$4:$B$40,MATCH(5,'명단입력'!$K$4:$K$40,0)),"")</f>
        <v/>
      </c>
      <c r="C8" s="38" t="str">
        <f t="array" ref="C8">IFERROR(INDEX('명단입력'!$C$4:$C$40,MATCH(5,'명단입력'!$K$4:$K$40,0)),"")</f>
        <v/>
      </c>
      <c r="D8" s="39" t="str">
        <f t="array" ref="D8">IFERROR(INDEX('명단입력'!$D$4:$D$40,MATCH(5,'명단입력'!$K$4:$K$40,0)),"")</f>
        <v/>
      </c>
      <c r="E8" s="39" t="str">
        <f t="array" ref="E8">IFERROR(INDEX('명단입력'!$E$4:$E$40,MATCH(5,'명단입력'!$K$4:$K$40,0)),"")</f>
        <v/>
      </c>
      <c r="F8" s="39" t="str">
        <f t="array" ref="F8">IFERROR(INDEX('설정'!$B$4:$B$34,MATCH(E8,'설정'!$A$4:$A$34,0)),"")</f>
        <v/>
      </c>
      <c r="G8" s="39" t="str">
        <f t="array" ref="G8">IFERROR(INDEX('명단입력'!$F$4:$F$40,MATCH(5,'명단입력'!$K$4:$K$40,0)),"")</f>
        <v/>
      </c>
      <c r="H8" s="39" t="str">
        <f t="array" ref="H8">IFERROR(INDEX('명단입력'!$G$4:$G$40,MATCH(5,'명단입력'!$K$4:$K$40,0)),"")</f>
        <v/>
      </c>
      <c r="I8" s="39" t="str">
        <f t="array" ref="I8">IFERROR(INDEX('명단입력'!$H$4:$H$40,MATCH(5,'명단입력'!$K$4:$K$40,0)),"")</f>
        <v/>
      </c>
      <c r="J8" s="39" t="str">
        <f t="array" ref="J8">IFERROR(INDEX('명단입력'!$I$4:$I$40,MATCH(5,'명단입력'!$K$4:$K$40,0)),"")</f>
        <v/>
      </c>
      <c r="K8" s="9" t="str">
        <f t="shared" si="2"/>
        <v/>
      </c>
      <c r="L8" s="9" t="str">
        <f t="shared" si="3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9" t="str">
        <f t="shared" si="1"/>
        <v/>
      </c>
      <c r="B9" s="38" t="str">
        <f t="array" ref="B9">IFERROR(INDEX('명단입력'!$B$4:$B$40,MATCH(6,'명단입력'!$K$4:$K$40,0)),"")</f>
        <v/>
      </c>
      <c r="C9" s="38" t="str">
        <f t="array" ref="C9">IFERROR(INDEX('명단입력'!$C$4:$C$40,MATCH(6,'명단입력'!$K$4:$K$40,0)),"")</f>
        <v/>
      </c>
      <c r="D9" s="39" t="str">
        <f t="array" ref="D9">IFERROR(INDEX('명단입력'!$D$4:$D$40,MATCH(6,'명단입력'!$K$4:$K$40,0)),"")</f>
        <v/>
      </c>
      <c r="E9" s="39" t="str">
        <f t="array" ref="E9">IFERROR(INDEX('명단입력'!$E$4:$E$40,MATCH(6,'명단입력'!$K$4:$K$40,0)),"")</f>
        <v/>
      </c>
      <c r="F9" s="39" t="str">
        <f t="array" ref="F9">IFERROR(INDEX('설정'!$B$4:$B$34,MATCH(E9,'설정'!$A$4:$A$34,0)),"")</f>
        <v/>
      </c>
      <c r="G9" s="39" t="str">
        <f t="array" ref="G9">IFERROR(INDEX('명단입력'!$F$4:$F$40,MATCH(6,'명단입력'!$K$4:$K$40,0)),"")</f>
        <v/>
      </c>
      <c r="H9" s="39" t="str">
        <f t="array" ref="H9">IFERROR(INDEX('명단입력'!$G$4:$G$40,MATCH(6,'명단입력'!$K$4:$K$40,0)),"")</f>
        <v/>
      </c>
      <c r="I9" s="39" t="str">
        <f t="array" ref="I9">IFERROR(INDEX('명단입력'!$H$4:$H$40,MATCH(6,'명단입력'!$K$4:$K$40,0)),"")</f>
        <v/>
      </c>
      <c r="J9" s="39" t="str">
        <f t="array" ref="J9">IFERROR(INDEX('명단입력'!$I$4:$I$40,MATCH(6,'명단입력'!$K$4:$K$40,0)),"")</f>
        <v/>
      </c>
      <c r="K9" s="9" t="str">
        <f t="shared" si="2"/>
        <v/>
      </c>
      <c r="L9" s="9" t="str">
        <f t="shared" si="3"/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9" t="str">
        <f t="shared" si="1"/>
        <v/>
      </c>
      <c r="B10" s="38" t="str">
        <f t="array" ref="B10">IFERROR(INDEX('명단입력'!$B$4:$B$40,MATCH(7,'명단입력'!$K$4:$K$40,0)),"")</f>
        <v/>
      </c>
      <c r="C10" s="38" t="str">
        <f t="array" ref="C10">IFERROR(INDEX('명단입력'!$C$4:$C$40,MATCH(7,'명단입력'!$K$4:$K$40,0)),"")</f>
        <v/>
      </c>
      <c r="D10" s="39" t="str">
        <f t="array" ref="D10">IFERROR(INDEX('명단입력'!$D$4:$D$40,MATCH(7,'명단입력'!$K$4:$K$40,0)),"")</f>
        <v/>
      </c>
      <c r="E10" s="39" t="str">
        <f t="array" ref="E10">IFERROR(INDEX('명단입력'!$E$4:$E$40,MATCH(7,'명단입력'!$K$4:$K$40,0)),"")</f>
        <v/>
      </c>
      <c r="F10" s="39" t="str">
        <f t="array" ref="F10">IFERROR(INDEX('설정'!$B$4:$B$34,MATCH(E10,'설정'!$A$4:$A$34,0)),"")</f>
        <v/>
      </c>
      <c r="G10" s="39" t="str">
        <f t="array" ref="G10">IFERROR(INDEX('명단입력'!$F$4:$F$40,MATCH(7,'명단입력'!$K$4:$K$40,0)),"")</f>
        <v/>
      </c>
      <c r="H10" s="39" t="str">
        <f t="array" ref="H10">IFERROR(INDEX('명단입력'!$G$4:$G$40,MATCH(7,'명단입력'!$K$4:$K$40,0)),"")</f>
        <v/>
      </c>
      <c r="I10" s="39" t="str">
        <f t="array" ref="I10">IFERROR(INDEX('명단입력'!$H$4:$H$40,MATCH(7,'명단입력'!$K$4:$K$40,0)),"")</f>
        <v/>
      </c>
      <c r="J10" s="39" t="str">
        <f t="array" ref="J10">IFERROR(INDEX('명단입력'!$I$4:$I$40,MATCH(7,'명단입력'!$K$4:$K$40,0)),"")</f>
        <v/>
      </c>
      <c r="K10" s="9" t="str">
        <f t="shared" si="2"/>
        <v/>
      </c>
      <c r="L10" s="9" t="str">
        <f t="shared" si="3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9" t="str">
        <f t="shared" si="1"/>
        <v/>
      </c>
      <c r="B11" s="38" t="str">
        <f t="array" ref="B11">IFERROR(INDEX('명단입력'!$B$4:$B$40,MATCH(8,'명단입력'!$K$4:$K$40,0)),"")</f>
        <v/>
      </c>
      <c r="C11" s="38" t="str">
        <f t="array" ref="C11">IFERROR(INDEX('명단입력'!$C$4:$C$40,MATCH(8,'명단입력'!$K$4:$K$40,0)),"")</f>
        <v/>
      </c>
      <c r="D11" s="39" t="str">
        <f t="array" ref="D11">IFERROR(INDEX('명단입력'!$D$4:$D$40,MATCH(8,'명단입력'!$K$4:$K$40,0)),"")</f>
        <v/>
      </c>
      <c r="E11" s="39" t="str">
        <f t="array" ref="E11">IFERROR(INDEX('명단입력'!$E$4:$E$40,MATCH(8,'명단입력'!$K$4:$K$40,0)),"")</f>
        <v/>
      </c>
      <c r="F11" s="39" t="str">
        <f t="array" ref="F11">IFERROR(INDEX('설정'!$B$4:$B$34,MATCH(E11,'설정'!$A$4:$A$34,0)),"")</f>
        <v/>
      </c>
      <c r="G11" s="39" t="str">
        <f t="array" ref="G11">IFERROR(INDEX('명단입력'!$F$4:$F$40,MATCH(8,'명단입력'!$K$4:$K$40,0)),"")</f>
        <v/>
      </c>
      <c r="H11" s="39" t="str">
        <f t="array" ref="H11">IFERROR(INDEX('명단입력'!$G$4:$G$40,MATCH(8,'명단입력'!$K$4:$K$40,0)),"")</f>
        <v/>
      </c>
      <c r="I11" s="39" t="str">
        <f t="array" ref="I11">IFERROR(INDEX('명단입력'!$H$4:$H$40,MATCH(8,'명단입력'!$K$4:$K$40,0)),"")</f>
        <v/>
      </c>
      <c r="J11" s="39" t="str">
        <f t="array" ref="J11">IFERROR(INDEX('명단입력'!$I$4:$I$40,MATCH(8,'명단입력'!$K$4:$K$40,0)),"")</f>
        <v/>
      </c>
      <c r="K11" s="9" t="str">
        <f t="shared" si="2"/>
        <v/>
      </c>
      <c r="L11" s="9" t="str">
        <f t="shared" si="3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9" t="str">
        <f t="shared" si="1"/>
        <v/>
      </c>
      <c r="B12" s="38" t="str">
        <f t="array" ref="B12">IFERROR(INDEX('명단입력'!$B$4:$B$40,MATCH(9,'명단입력'!$K$4:$K$40,0)),"")</f>
        <v/>
      </c>
      <c r="C12" s="38" t="str">
        <f t="array" ref="C12">IFERROR(INDEX('명단입력'!$C$4:$C$40,MATCH(9,'명단입력'!$K$4:$K$40,0)),"")</f>
        <v/>
      </c>
      <c r="D12" s="39" t="str">
        <f t="array" ref="D12">IFERROR(INDEX('명단입력'!$D$4:$D$40,MATCH(9,'명단입력'!$K$4:$K$40,0)),"")</f>
        <v/>
      </c>
      <c r="E12" s="39" t="str">
        <f t="array" ref="E12">IFERROR(INDEX('명단입력'!$E$4:$E$40,MATCH(9,'명단입력'!$K$4:$K$40,0)),"")</f>
        <v/>
      </c>
      <c r="F12" s="39" t="str">
        <f t="array" ref="F12">IFERROR(INDEX('설정'!$B$4:$B$34,MATCH(E12,'설정'!$A$4:$A$34,0)),"")</f>
        <v/>
      </c>
      <c r="G12" s="39" t="str">
        <f t="array" ref="G12">IFERROR(INDEX('명단입력'!$F$4:$F$40,MATCH(9,'명단입력'!$K$4:$K$40,0)),"")</f>
        <v/>
      </c>
      <c r="H12" s="39" t="str">
        <f t="array" ref="H12">IFERROR(INDEX('명단입력'!$G$4:$G$40,MATCH(9,'명단입력'!$K$4:$K$40,0)),"")</f>
        <v/>
      </c>
      <c r="I12" s="39" t="str">
        <f t="array" ref="I12">IFERROR(INDEX('명단입력'!$H$4:$H$40,MATCH(9,'명단입력'!$K$4:$K$40,0)),"")</f>
        <v/>
      </c>
      <c r="J12" s="39" t="str">
        <f t="array" ref="J12">IFERROR(INDEX('명단입력'!$I$4:$I$40,MATCH(9,'명단입력'!$K$4:$K$40,0)),"")</f>
        <v/>
      </c>
      <c r="K12" s="9" t="str">
        <f t="shared" si="2"/>
        <v/>
      </c>
      <c r="L12" s="9" t="str">
        <f t="shared" si="3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9" t="str">
        <f t="shared" si="1"/>
        <v/>
      </c>
      <c r="B13" s="38" t="str">
        <f t="array" ref="B13">IFERROR(INDEX('명단입력'!$B$4:$B$40,MATCH(10,'명단입력'!$K$4:$K$40,0)),"")</f>
        <v/>
      </c>
      <c r="C13" s="38" t="str">
        <f t="array" ref="C13">IFERROR(INDEX('명단입력'!$C$4:$C$40,MATCH(10,'명단입력'!$K$4:$K$40,0)),"")</f>
        <v/>
      </c>
      <c r="D13" s="39" t="str">
        <f t="array" ref="D13">IFERROR(INDEX('명단입력'!$D$4:$D$40,MATCH(10,'명단입력'!$K$4:$K$40,0)),"")</f>
        <v/>
      </c>
      <c r="E13" s="39" t="str">
        <f t="array" ref="E13">IFERROR(INDEX('명단입력'!$E$4:$E$40,MATCH(10,'명단입력'!$K$4:$K$40,0)),"")</f>
        <v/>
      </c>
      <c r="F13" s="39" t="str">
        <f t="array" ref="F13">IFERROR(INDEX('설정'!$B$4:$B$34,MATCH(E13,'설정'!$A$4:$A$34,0)),"")</f>
        <v/>
      </c>
      <c r="G13" s="39" t="str">
        <f t="array" ref="G13">IFERROR(INDEX('명단입력'!$F$4:$F$40,MATCH(10,'명단입력'!$K$4:$K$40,0)),"")</f>
        <v/>
      </c>
      <c r="H13" s="39" t="str">
        <f t="array" ref="H13">IFERROR(INDEX('명단입력'!$G$4:$G$40,MATCH(10,'명단입력'!$K$4:$K$40,0)),"")</f>
        <v/>
      </c>
      <c r="I13" s="39" t="str">
        <f t="array" ref="I13">IFERROR(INDEX('명단입력'!$H$4:$H$40,MATCH(10,'명단입력'!$K$4:$K$40,0)),"")</f>
        <v/>
      </c>
      <c r="J13" s="39" t="str">
        <f t="array" ref="J13">IFERROR(INDEX('명단입력'!$I$4:$I$40,MATCH(10,'명단입력'!$K$4:$K$40,0)),"")</f>
        <v/>
      </c>
      <c r="K13" s="9" t="str">
        <f t="shared" si="2"/>
        <v/>
      </c>
      <c r="L13" s="9" t="str">
        <f t="shared" si="3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9" t="str">
        <f t="shared" si="1"/>
        <v/>
      </c>
      <c r="B14" s="38" t="str">
        <f t="array" ref="B14">IFERROR(INDEX('명단입력'!$B$4:$B$40,MATCH(11,'명단입력'!$K$4:$K$40,0)),"")</f>
        <v/>
      </c>
      <c r="C14" s="38" t="str">
        <f t="array" ref="C14">IFERROR(INDEX('명단입력'!$C$4:$C$40,MATCH(11,'명단입력'!$K$4:$K$40,0)),"")</f>
        <v/>
      </c>
      <c r="D14" s="39" t="str">
        <f t="array" ref="D14">IFERROR(INDEX('명단입력'!$D$4:$D$40,MATCH(11,'명단입력'!$K$4:$K$40,0)),"")</f>
        <v/>
      </c>
      <c r="E14" s="39" t="str">
        <f t="array" ref="E14">IFERROR(INDEX('명단입력'!$E$4:$E$40,MATCH(11,'명단입력'!$K$4:$K$40,0)),"")</f>
        <v/>
      </c>
      <c r="F14" s="39" t="str">
        <f t="array" ref="F14">IFERROR(INDEX('설정'!$B$4:$B$34,MATCH(E14,'설정'!$A$4:$A$34,0)),"")</f>
        <v/>
      </c>
      <c r="G14" s="39" t="str">
        <f t="array" ref="G14">IFERROR(INDEX('명단입력'!$F$4:$F$40,MATCH(11,'명단입력'!$K$4:$K$40,0)),"")</f>
        <v/>
      </c>
      <c r="H14" s="39" t="str">
        <f t="array" ref="H14">IFERROR(INDEX('명단입력'!$G$4:$G$40,MATCH(11,'명단입력'!$K$4:$K$40,0)),"")</f>
        <v/>
      </c>
      <c r="I14" s="39" t="str">
        <f t="array" ref="I14">IFERROR(INDEX('명단입력'!$H$4:$H$40,MATCH(11,'명단입력'!$K$4:$K$40,0)),"")</f>
        <v/>
      </c>
      <c r="J14" s="39" t="str">
        <f t="array" ref="J14">IFERROR(INDEX('명단입력'!$I$4:$I$40,MATCH(11,'명단입력'!$K$4:$K$40,0)),"")</f>
        <v/>
      </c>
      <c r="K14" s="9" t="str">
        <f t="shared" si="2"/>
        <v/>
      </c>
      <c r="L14" s="9" t="str">
        <f t="shared" si="3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9" t="str">
        <f t="shared" si="1"/>
        <v/>
      </c>
      <c r="B15" s="38" t="str">
        <f t="array" ref="B15">IFERROR(INDEX('명단입력'!$B$4:$B$40,MATCH(12,'명단입력'!$K$4:$K$40,0)),"")</f>
        <v/>
      </c>
      <c r="C15" s="38" t="str">
        <f t="array" ref="C15">IFERROR(INDEX('명단입력'!$C$4:$C$40,MATCH(12,'명단입력'!$K$4:$K$40,0)),"")</f>
        <v/>
      </c>
      <c r="D15" s="39" t="str">
        <f t="array" ref="D15">IFERROR(INDEX('명단입력'!$D$4:$D$40,MATCH(12,'명단입력'!$K$4:$K$40,0)),"")</f>
        <v/>
      </c>
      <c r="E15" s="39" t="str">
        <f t="array" ref="E15">IFERROR(INDEX('명단입력'!$E$4:$E$40,MATCH(12,'명단입력'!$K$4:$K$40,0)),"")</f>
        <v/>
      </c>
      <c r="F15" s="39" t="str">
        <f t="array" ref="F15">IFERROR(INDEX('설정'!$B$4:$B$34,MATCH(E15,'설정'!$A$4:$A$34,0)),"")</f>
        <v/>
      </c>
      <c r="G15" s="39" t="str">
        <f t="array" ref="G15">IFERROR(INDEX('명단입력'!$F$4:$F$40,MATCH(12,'명단입력'!$K$4:$K$40,0)),"")</f>
        <v/>
      </c>
      <c r="H15" s="39" t="str">
        <f t="array" ref="H15">IFERROR(INDEX('명단입력'!$G$4:$G$40,MATCH(12,'명단입력'!$K$4:$K$40,0)),"")</f>
        <v/>
      </c>
      <c r="I15" s="39" t="str">
        <f t="array" ref="I15">IFERROR(INDEX('명단입력'!$H$4:$H$40,MATCH(12,'명단입력'!$K$4:$K$40,0)),"")</f>
        <v/>
      </c>
      <c r="J15" s="39" t="str">
        <f t="array" ref="J15">IFERROR(INDEX('명단입력'!$I$4:$I$40,MATCH(12,'명단입력'!$K$4:$K$40,0)),"")</f>
        <v/>
      </c>
      <c r="K15" s="9" t="str">
        <f t="shared" si="2"/>
        <v/>
      </c>
      <c r="L15" s="9" t="str">
        <f t="shared" si="3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9" t="str">
        <f t="shared" si="1"/>
        <v/>
      </c>
      <c r="B16" s="38" t="str">
        <f t="array" ref="B16">IFERROR(INDEX('명단입력'!$B$4:$B$40,MATCH(13,'명단입력'!$K$4:$K$40,0)),"")</f>
        <v/>
      </c>
      <c r="C16" s="38" t="str">
        <f t="array" ref="C16">IFERROR(INDEX('명단입력'!$C$4:$C$40,MATCH(13,'명단입력'!$K$4:$K$40,0)),"")</f>
        <v/>
      </c>
      <c r="D16" s="39" t="str">
        <f t="array" ref="D16">IFERROR(INDEX('명단입력'!$D$4:$D$40,MATCH(13,'명단입력'!$K$4:$K$40,0)),"")</f>
        <v/>
      </c>
      <c r="E16" s="39" t="str">
        <f t="array" ref="E16">IFERROR(INDEX('명단입력'!$E$4:$E$40,MATCH(13,'명단입력'!$K$4:$K$40,0)),"")</f>
        <v/>
      </c>
      <c r="F16" s="39" t="str">
        <f t="array" ref="F16">IFERROR(INDEX('설정'!$B$4:$B$34,MATCH(E16,'설정'!$A$4:$A$34,0)),"")</f>
        <v/>
      </c>
      <c r="G16" s="39" t="str">
        <f t="array" ref="G16">IFERROR(INDEX('명단입력'!$F$4:$F$40,MATCH(13,'명단입력'!$K$4:$K$40,0)),"")</f>
        <v/>
      </c>
      <c r="H16" s="39" t="str">
        <f t="array" ref="H16">IFERROR(INDEX('명단입력'!$G$4:$G$40,MATCH(13,'명단입력'!$K$4:$K$40,0)),"")</f>
        <v/>
      </c>
      <c r="I16" s="39" t="str">
        <f t="array" ref="I16">IFERROR(INDEX('명단입력'!$H$4:$H$40,MATCH(13,'명단입력'!$K$4:$K$40,0)),"")</f>
        <v/>
      </c>
      <c r="J16" s="39" t="str">
        <f t="array" ref="J16">IFERROR(INDEX('명단입력'!$I$4:$I$40,MATCH(13,'명단입력'!$K$4:$K$40,0)),"")</f>
        <v/>
      </c>
      <c r="K16" s="9" t="str">
        <f t="shared" si="2"/>
        <v/>
      </c>
      <c r="L16" s="9" t="str">
        <f t="shared" si="3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9" t="str">
        <f t="shared" si="1"/>
        <v/>
      </c>
      <c r="B17" s="38" t="str">
        <f t="array" ref="B17">IFERROR(INDEX('명단입력'!$B$4:$B$40,MATCH(14,'명단입력'!$K$4:$K$40,0)),"")</f>
        <v/>
      </c>
      <c r="C17" s="38" t="str">
        <f t="array" ref="C17">IFERROR(INDEX('명단입력'!$C$4:$C$40,MATCH(14,'명단입력'!$K$4:$K$40,0)),"")</f>
        <v/>
      </c>
      <c r="D17" s="39" t="str">
        <f t="array" ref="D17">IFERROR(INDEX('명단입력'!$D$4:$D$40,MATCH(14,'명단입력'!$K$4:$K$40,0)),"")</f>
        <v/>
      </c>
      <c r="E17" s="39" t="str">
        <f t="array" ref="E17">IFERROR(INDEX('명단입력'!$E$4:$E$40,MATCH(14,'명단입력'!$K$4:$K$40,0)),"")</f>
        <v/>
      </c>
      <c r="F17" s="39" t="str">
        <f t="array" ref="F17">IFERROR(INDEX('설정'!$B$4:$B$34,MATCH(E17,'설정'!$A$4:$A$34,0)),"")</f>
        <v/>
      </c>
      <c r="G17" s="39" t="str">
        <f t="array" ref="G17">IFERROR(INDEX('명단입력'!$F$4:$F$40,MATCH(14,'명단입력'!$K$4:$K$40,0)),"")</f>
        <v/>
      </c>
      <c r="H17" s="39" t="str">
        <f t="array" ref="H17">IFERROR(INDEX('명단입력'!$G$4:$G$40,MATCH(14,'명단입력'!$K$4:$K$40,0)),"")</f>
        <v/>
      </c>
      <c r="I17" s="39" t="str">
        <f t="array" ref="I17">IFERROR(INDEX('명단입력'!$H$4:$H$40,MATCH(14,'명단입력'!$K$4:$K$40,0)),"")</f>
        <v/>
      </c>
      <c r="J17" s="39" t="str">
        <f t="array" ref="J17">IFERROR(INDEX('명단입력'!$I$4:$I$40,MATCH(14,'명단입력'!$K$4:$K$40,0)),"")</f>
        <v/>
      </c>
      <c r="K17" s="9" t="str">
        <f t="shared" si="2"/>
        <v/>
      </c>
      <c r="L17" s="9" t="str">
        <f t="shared" si="3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9" t="str">
        <f t="shared" si="1"/>
        <v/>
      </c>
      <c r="B18" s="38" t="str">
        <f t="array" ref="B18">IFERROR(INDEX('명단입력'!$B$4:$B$40,MATCH(15,'명단입력'!$K$4:$K$40,0)),"")</f>
        <v/>
      </c>
      <c r="C18" s="38" t="str">
        <f t="array" ref="C18">IFERROR(INDEX('명단입력'!$C$4:$C$40,MATCH(15,'명단입력'!$K$4:$K$40,0)),"")</f>
        <v/>
      </c>
      <c r="D18" s="39" t="str">
        <f t="array" ref="D18">IFERROR(INDEX('명단입력'!$D$4:$D$40,MATCH(15,'명단입력'!$K$4:$K$40,0)),"")</f>
        <v/>
      </c>
      <c r="E18" s="39" t="str">
        <f t="array" ref="E18">IFERROR(INDEX('명단입력'!$E$4:$E$40,MATCH(15,'명단입력'!$K$4:$K$40,0)),"")</f>
        <v/>
      </c>
      <c r="F18" s="39" t="str">
        <f t="array" ref="F18">IFERROR(INDEX('설정'!$B$4:$B$34,MATCH(E18,'설정'!$A$4:$A$34,0)),"")</f>
        <v/>
      </c>
      <c r="G18" s="39" t="str">
        <f t="array" ref="G18">IFERROR(INDEX('명단입력'!$F$4:$F$40,MATCH(15,'명단입력'!$K$4:$K$40,0)),"")</f>
        <v/>
      </c>
      <c r="H18" s="39" t="str">
        <f t="array" ref="H18">IFERROR(INDEX('명단입력'!$G$4:$G$40,MATCH(15,'명단입력'!$K$4:$K$40,0)),"")</f>
        <v/>
      </c>
      <c r="I18" s="39" t="str">
        <f t="array" ref="I18">IFERROR(INDEX('명단입력'!$H$4:$H$40,MATCH(15,'명단입력'!$K$4:$K$40,0)),"")</f>
        <v/>
      </c>
      <c r="J18" s="39" t="str">
        <f t="array" ref="J18">IFERROR(INDEX('명단입력'!$I$4:$I$40,MATCH(15,'명단입력'!$K$4:$K$40,0)),"")</f>
        <v/>
      </c>
      <c r="K18" s="9" t="str">
        <f t="shared" si="2"/>
        <v/>
      </c>
      <c r="L18" s="9" t="str">
        <f t="shared" si="3"/>
        <v/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9" t="str">
        <f t="shared" si="1"/>
        <v/>
      </c>
      <c r="B19" s="38" t="str">
        <f t="array" ref="B19">IFERROR(INDEX('명단입력'!$B$4:$B$40,MATCH(16,'명단입력'!$K$4:$K$40,0)),"")</f>
        <v/>
      </c>
      <c r="C19" s="38" t="str">
        <f t="array" ref="C19">IFERROR(INDEX('명단입력'!$C$4:$C$40,MATCH(16,'명단입력'!$K$4:$K$40,0)),"")</f>
        <v/>
      </c>
      <c r="D19" s="39" t="str">
        <f t="array" ref="D19">IFERROR(INDEX('명단입력'!$D$4:$D$40,MATCH(16,'명단입력'!$K$4:$K$40,0)),"")</f>
        <v/>
      </c>
      <c r="E19" s="39" t="str">
        <f t="array" ref="E19">IFERROR(INDEX('명단입력'!$E$4:$E$40,MATCH(16,'명단입력'!$K$4:$K$40,0)),"")</f>
        <v/>
      </c>
      <c r="F19" s="39" t="str">
        <f t="array" ref="F19">IFERROR(INDEX('설정'!$B$4:$B$34,MATCH(E19,'설정'!$A$4:$A$34,0)),"")</f>
        <v/>
      </c>
      <c r="G19" s="39" t="str">
        <f t="array" ref="G19">IFERROR(INDEX('명단입력'!$F$4:$F$40,MATCH(16,'명단입력'!$K$4:$K$40,0)),"")</f>
        <v/>
      </c>
      <c r="H19" s="39" t="str">
        <f t="array" ref="H19">IFERROR(INDEX('명단입력'!$G$4:$G$40,MATCH(16,'명단입력'!$K$4:$K$40,0)),"")</f>
        <v/>
      </c>
      <c r="I19" s="39" t="str">
        <f t="array" ref="I19">IFERROR(INDEX('명단입력'!$H$4:$H$40,MATCH(16,'명단입력'!$K$4:$K$40,0)),"")</f>
        <v/>
      </c>
      <c r="J19" s="39" t="str">
        <f t="array" ref="J19">IFERROR(INDEX('명단입력'!$I$4:$I$40,MATCH(16,'명단입력'!$K$4:$K$40,0)),"")</f>
        <v/>
      </c>
      <c r="K19" s="9" t="str">
        <f t="shared" si="2"/>
        <v/>
      </c>
      <c r="L19" s="9" t="str">
        <f t="shared" si="3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9" t="str">
        <f t="shared" si="1"/>
        <v/>
      </c>
      <c r="B20" s="38" t="str">
        <f t="array" ref="B20">IFERROR(INDEX('명단입력'!$B$4:$B$40,MATCH(17,'명단입력'!$K$4:$K$40,0)),"")</f>
        <v/>
      </c>
      <c r="C20" s="38" t="str">
        <f t="array" ref="C20">IFERROR(INDEX('명단입력'!$C$4:$C$40,MATCH(17,'명단입력'!$K$4:$K$40,0)),"")</f>
        <v/>
      </c>
      <c r="D20" s="39" t="str">
        <f t="array" ref="D20">IFERROR(INDEX('명단입력'!$D$4:$D$40,MATCH(17,'명단입력'!$K$4:$K$40,0)),"")</f>
        <v/>
      </c>
      <c r="E20" s="39" t="str">
        <f t="array" ref="E20">IFERROR(INDEX('명단입력'!$E$4:$E$40,MATCH(17,'명단입력'!$K$4:$K$40,0)),"")</f>
        <v/>
      </c>
      <c r="F20" s="39" t="str">
        <f t="array" ref="F20">IFERROR(INDEX('설정'!$B$4:$B$34,MATCH(E20,'설정'!$A$4:$A$34,0)),"")</f>
        <v/>
      </c>
      <c r="G20" s="39" t="str">
        <f t="array" ref="G20">IFERROR(INDEX('명단입력'!$F$4:$F$40,MATCH(17,'명단입력'!$K$4:$K$40,0)),"")</f>
        <v/>
      </c>
      <c r="H20" s="39" t="str">
        <f t="array" ref="H20">IFERROR(INDEX('명단입력'!$G$4:$G$40,MATCH(17,'명단입력'!$K$4:$K$40,0)),"")</f>
        <v/>
      </c>
      <c r="I20" s="39" t="str">
        <f t="array" ref="I20">IFERROR(INDEX('명단입력'!$H$4:$H$40,MATCH(17,'명단입력'!$K$4:$K$40,0)),"")</f>
        <v/>
      </c>
      <c r="J20" s="39" t="str">
        <f t="array" ref="J20">IFERROR(INDEX('명단입력'!$I$4:$I$40,MATCH(17,'명단입력'!$K$4:$K$40,0)),"")</f>
        <v/>
      </c>
      <c r="K20" s="9" t="str">
        <f t="shared" si="2"/>
        <v/>
      </c>
      <c r="L20" s="9" t="str">
        <f t="shared" si="3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" t="str">
        <f t="shared" si="1"/>
        <v/>
      </c>
      <c r="B21" s="38" t="str">
        <f t="array" ref="B21">IFERROR(INDEX('명단입력'!$B$4:$B$40,MATCH(18,'명단입력'!$K$4:$K$40,0)),"")</f>
        <v/>
      </c>
      <c r="C21" s="38" t="str">
        <f t="array" ref="C21">IFERROR(INDEX('명단입력'!$C$4:$C$40,MATCH(18,'명단입력'!$K$4:$K$40,0)),"")</f>
        <v/>
      </c>
      <c r="D21" s="39" t="str">
        <f t="array" ref="D21">IFERROR(INDEX('명단입력'!$D$4:$D$40,MATCH(18,'명단입력'!$K$4:$K$40,0)),"")</f>
        <v/>
      </c>
      <c r="E21" s="39" t="str">
        <f t="array" ref="E21">IFERROR(INDEX('명단입력'!$E$4:$E$40,MATCH(18,'명단입력'!$K$4:$K$40,0)),"")</f>
        <v/>
      </c>
      <c r="F21" s="39" t="str">
        <f t="array" ref="F21">IFERROR(INDEX('설정'!$B$4:$B$34,MATCH(E21,'설정'!$A$4:$A$34,0)),"")</f>
        <v/>
      </c>
      <c r="G21" s="39" t="str">
        <f t="array" ref="G21">IFERROR(INDEX('명단입력'!$F$4:$F$40,MATCH(18,'명단입력'!$K$4:$K$40,0)),"")</f>
        <v/>
      </c>
      <c r="H21" s="39" t="str">
        <f t="array" ref="H21">IFERROR(INDEX('명단입력'!$G$4:$G$40,MATCH(18,'명단입력'!$K$4:$K$40,0)),"")</f>
        <v/>
      </c>
      <c r="I21" s="39" t="str">
        <f t="array" ref="I21">IFERROR(INDEX('명단입력'!$H$4:$H$40,MATCH(18,'명단입력'!$K$4:$K$40,0)),"")</f>
        <v/>
      </c>
      <c r="J21" s="39" t="str">
        <f t="array" ref="J21">IFERROR(INDEX('명단입력'!$I$4:$I$40,MATCH(18,'명단입력'!$K$4:$K$40,0)),"")</f>
        <v/>
      </c>
      <c r="K21" s="9" t="str">
        <f t="shared" si="2"/>
        <v/>
      </c>
      <c r="L21" s="9" t="str">
        <f t="shared" si="3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" t="str">
        <f t="shared" si="1"/>
        <v/>
      </c>
      <c r="B22" s="38" t="str">
        <f t="array" ref="B22">IFERROR(INDEX('명단입력'!$B$4:$B$40,MATCH(19,'명단입력'!$K$4:$K$40,0)),"")</f>
        <v/>
      </c>
      <c r="C22" s="38" t="str">
        <f t="array" ref="C22">IFERROR(INDEX('명단입력'!$C$4:$C$40,MATCH(19,'명단입력'!$K$4:$K$40,0)),"")</f>
        <v/>
      </c>
      <c r="D22" s="39" t="str">
        <f t="array" ref="D22">IFERROR(INDEX('명단입력'!$D$4:$D$40,MATCH(19,'명단입력'!$K$4:$K$40,0)),"")</f>
        <v/>
      </c>
      <c r="E22" s="39" t="str">
        <f t="array" ref="E22">IFERROR(INDEX('명단입력'!$E$4:$E$40,MATCH(19,'명단입력'!$K$4:$K$40,0)),"")</f>
        <v/>
      </c>
      <c r="F22" s="39" t="str">
        <f t="array" ref="F22">IFERROR(INDEX('설정'!$B$4:$B$34,MATCH(E22,'설정'!$A$4:$A$34,0)),"")</f>
        <v/>
      </c>
      <c r="G22" s="39" t="str">
        <f t="array" ref="G22">IFERROR(INDEX('명단입력'!$F$4:$F$40,MATCH(19,'명단입력'!$K$4:$K$40,0)),"")</f>
        <v/>
      </c>
      <c r="H22" s="39" t="str">
        <f t="array" ref="H22">IFERROR(INDEX('명단입력'!$G$4:$G$40,MATCH(19,'명단입력'!$K$4:$K$40,0)),"")</f>
        <v/>
      </c>
      <c r="I22" s="39" t="str">
        <f t="array" ref="I22">IFERROR(INDEX('명단입력'!$H$4:$H$40,MATCH(19,'명단입력'!$K$4:$K$40,0)),"")</f>
        <v/>
      </c>
      <c r="J22" s="39" t="str">
        <f t="array" ref="J22">IFERROR(INDEX('명단입력'!$I$4:$I$40,MATCH(19,'명단입력'!$K$4:$K$40,0)),"")</f>
        <v/>
      </c>
      <c r="K22" s="9" t="str">
        <f t="shared" si="2"/>
        <v/>
      </c>
      <c r="L22" s="9" t="str">
        <f t="shared" si="3"/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9" t="str">
        <f t="shared" si="1"/>
        <v/>
      </c>
      <c r="B23" s="38" t="str">
        <f t="array" ref="B23">IFERROR(INDEX('명단입력'!$B$4:$B$40,MATCH(20,'명단입력'!$K$4:$K$40,0)),"")</f>
        <v/>
      </c>
      <c r="C23" s="38" t="str">
        <f t="array" ref="C23">IFERROR(INDEX('명단입력'!$C$4:$C$40,MATCH(20,'명단입력'!$K$4:$K$40,0)),"")</f>
        <v/>
      </c>
      <c r="D23" s="39" t="str">
        <f t="array" ref="D23">IFERROR(INDEX('명단입력'!$D$4:$D$40,MATCH(20,'명단입력'!$K$4:$K$40,0)),"")</f>
        <v/>
      </c>
      <c r="E23" s="39" t="str">
        <f t="array" ref="E23">IFERROR(INDEX('명단입력'!$E$4:$E$40,MATCH(20,'명단입력'!$K$4:$K$40,0)),"")</f>
        <v/>
      </c>
      <c r="F23" s="39" t="str">
        <f t="array" ref="F23">IFERROR(INDEX('설정'!$B$4:$B$34,MATCH(E23,'설정'!$A$4:$A$34,0)),"")</f>
        <v/>
      </c>
      <c r="G23" s="39" t="str">
        <f t="array" ref="G23">IFERROR(INDEX('명단입력'!$F$4:$F$40,MATCH(20,'명단입력'!$K$4:$K$40,0)),"")</f>
        <v/>
      </c>
      <c r="H23" s="39" t="str">
        <f t="array" ref="H23">IFERROR(INDEX('명단입력'!$G$4:$G$40,MATCH(20,'명단입력'!$K$4:$K$40,0)),"")</f>
        <v/>
      </c>
      <c r="I23" s="39" t="str">
        <f t="array" ref="I23">IFERROR(INDEX('명단입력'!$H$4:$H$40,MATCH(20,'명단입력'!$K$4:$K$40,0)),"")</f>
        <v/>
      </c>
      <c r="J23" s="39" t="str">
        <f t="array" ref="J23">IFERROR(INDEX('명단입력'!$I$4:$I$40,MATCH(20,'명단입력'!$K$4:$K$40,0)),"")</f>
        <v/>
      </c>
      <c r="K23" s="9" t="str">
        <f t="shared" si="2"/>
        <v/>
      </c>
      <c r="L23" s="9" t="str">
        <f t="shared" si="3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9" t="str">
        <f t="shared" si="1"/>
        <v/>
      </c>
      <c r="B24" s="38" t="str">
        <f t="array" ref="B24">IFERROR(INDEX('명단입력'!$B$4:$B$40,MATCH(21,'명단입력'!$K$4:$K$40,0)),"")</f>
        <v/>
      </c>
      <c r="C24" s="38" t="str">
        <f t="array" ref="C24">IFERROR(INDEX('명단입력'!$C$4:$C$40,MATCH(21,'명단입력'!$K$4:$K$40,0)),"")</f>
        <v/>
      </c>
      <c r="D24" s="39" t="str">
        <f t="array" ref="D24">IFERROR(INDEX('명단입력'!$D$4:$D$40,MATCH(21,'명단입력'!$K$4:$K$40,0)),"")</f>
        <v/>
      </c>
      <c r="E24" s="39" t="str">
        <f t="array" ref="E24">IFERROR(INDEX('명단입력'!$E$4:$E$40,MATCH(21,'명단입력'!$K$4:$K$40,0)),"")</f>
        <v/>
      </c>
      <c r="F24" s="39" t="str">
        <f t="array" ref="F24">IFERROR(INDEX('설정'!$B$4:$B$34,MATCH(E24,'설정'!$A$4:$A$34,0)),"")</f>
        <v/>
      </c>
      <c r="G24" s="39" t="str">
        <f t="array" ref="G24">IFERROR(INDEX('명단입력'!$F$4:$F$40,MATCH(21,'명단입력'!$K$4:$K$40,0)),"")</f>
        <v/>
      </c>
      <c r="H24" s="39" t="str">
        <f t="array" ref="H24">IFERROR(INDEX('명단입력'!$G$4:$G$40,MATCH(21,'명단입력'!$K$4:$K$40,0)),"")</f>
        <v/>
      </c>
      <c r="I24" s="39" t="str">
        <f t="array" ref="I24">IFERROR(INDEX('명단입력'!$H$4:$H$40,MATCH(21,'명단입력'!$K$4:$K$40,0)),"")</f>
        <v/>
      </c>
      <c r="J24" s="39" t="str">
        <f t="array" ref="J24">IFERROR(INDEX('명단입력'!$I$4:$I$40,MATCH(21,'명단입력'!$K$4:$K$40,0)),"")</f>
        <v/>
      </c>
      <c r="K24" s="9" t="str">
        <f t="shared" si="2"/>
        <v/>
      </c>
      <c r="L24" s="9" t="str">
        <f t="shared" si="3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" t="str">
        <f t="shared" si="1"/>
        <v/>
      </c>
      <c r="B25" s="38" t="str">
        <f t="array" ref="B25">IFERROR(INDEX('명단입력'!$B$4:$B$40,MATCH(22,'명단입력'!$K$4:$K$40,0)),"")</f>
        <v/>
      </c>
      <c r="C25" s="38" t="str">
        <f t="array" ref="C25">IFERROR(INDEX('명단입력'!$C$4:$C$40,MATCH(22,'명단입력'!$K$4:$K$40,0)),"")</f>
        <v/>
      </c>
      <c r="D25" s="39" t="str">
        <f t="array" ref="D25">IFERROR(INDEX('명단입력'!$D$4:$D$40,MATCH(22,'명단입력'!$K$4:$K$40,0)),"")</f>
        <v/>
      </c>
      <c r="E25" s="39" t="str">
        <f t="array" ref="E25">IFERROR(INDEX('명단입력'!$E$4:$E$40,MATCH(22,'명단입력'!$K$4:$K$40,0)),"")</f>
        <v/>
      </c>
      <c r="F25" s="39" t="str">
        <f t="array" ref="F25">IFERROR(INDEX('설정'!$B$4:$B$34,MATCH(E25,'설정'!$A$4:$A$34,0)),"")</f>
        <v/>
      </c>
      <c r="G25" s="39" t="str">
        <f t="array" ref="G25">IFERROR(INDEX('명단입력'!$F$4:$F$40,MATCH(22,'명단입력'!$K$4:$K$40,0)),"")</f>
        <v/>
      </c>
      <c r="H25" s="39" t="str">
        <f t="array" ref="H25">IFERROR(INDEX('명단입력'!$G$4:$G$40,MATCH(22,'명단입력'!$K$4:$K$40,0)),"")</f>
        <v/>
      </c>
      <c r="I25" s="39" t="str">
        <f t="array" ref="I25">IFERROR(INDEX('명단입력'!$H$4:$H$40,MATCH(22,'명단입력'!$K$4:$K$40,0)),"")</f>
        <v/>
      </c>
      <c r="J25" s="39" t="str">
        <f t="array" ref="J25">IFERROR(INDEX('명단입력'!$I$4:$I$40,MATCH(22,'명단입력'!$K$4:$K$40,0)),"")</f>
        <v/>
      </c>
      <c r="K25" s="9" t="str">
        <f t="shared" si="2"/>
        <v/>
      </c>
      <c r="L25" s="9" t="str">
        <f t="shared" si="3"/>
        <v/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9" t="str">
        <f t="shared" si="1"/>
        <v/>
      </c>
      <c r="B26" s="38" t="str">
        <f t="array" ref="B26">IFERROR(INDEX('명단입력'!$B$4:$B$40,MATCH(23,'명단입력'!$K$4:$K$40,0)),"")</f>
        <v/>
      </c>
      <c r="C26" s="38" t="str">
        <f t="array" ref="C26">IFERROR(INDEX('명단입력'!$C$4:$C$40,MATCH(23,'명단입력'!$K$4:$K$40,0)),"")</f>
        <v/>
      </c>
      <c r="D26" s="39" t="str">
        <f t="array" ref="D26">IFERROR(INDEX('명단입력'!$D$4:$D$40,MATCH(23,'명단입력'!$K$4:$K$40,0)),"")</f>
        <v/>
      </c>
      <c r="E26" s="39" t="str">
        <f t="array" ref="E26">IFERROR(INDEX('명단입력'!$E$4:$E$40,MATCH(23,'명단입력'!$K$4:$K$40,0)),"")</f>
        <v/>
      </c>
      <c r="F26" s="39" t="str">
        <f t="array" ref="F26">IFERROR(INDEX('설정'!$B$4:$B$34,MATCH(E26,'설정'!$A$4:$A$34,0)),"")</f>
        <v/>
      </c>
      <c r="G26" s="39" t="str">
        <f t="array" ref="G26">IFERROR(INDEX('명단입력'!$F$4:$F$40,MATCH(23,'명단입력'!$K$4:$K$40,0)),"")</f>
        <v/>
      </c>
      <c r="H26" s="39" t="str">
        <f t="array" ref="H26">IFERROR(INDEX('명단입력'!$G$4:$G$40,MATCH(23,'명단입력'!$K$4:$K$40,0)),"")</f>
        <v/>
      </c>
      <c r="I26" s="39" t="str">
        <f t="array" ref="I26">IFERROR(INDEX('명단입력'!$H$4:$H$40,MATCH(23,'명단입력'!$K$4:$K$40,0)),"")</f>
        <v/>
      </c>
      <c r="J26" s="39" t="str">
        <f t="array" ref="J26">IFERROR(INDEX('명단입력'!$I$4:$I$40,MATCH(23,'명단입력'!$K$4:$K$40,0)),"")</f>
        <v/>
      </c>
      <c r="K26" s="9" t="str">
        <f t="shared" si="2"/>
        <v/>
      </c>
      <c r="L26" s="9" t="str">
        <f t="shared" si="3"/>
        <v/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9" t="str">
        <f t="shared" si="1"/>
        <v/>
      </c>
      <c r="B27" s="38" t="str">
        <f t="array" ref="B27">IFERROR(INDEX('명단입력'!$B$4:$B$40,MATCH(24,'명단입력'!$K$4:$K$40,0)),"")</f>
        <v/>
      </c>
      <c r="C27" s="38" t="str">
        <f t="array" ref="C27">IFERROR(INDEX('명단입력'!$C$4:$C$40,MATCH(24,'명단입력'!$K$4:$K$40,0)),"")</f>
        <v/>
      </c>
      <c r="D27" s="39" t="str">
        <f t="array" ref="D27">IFERROR(INDEX('명단입력'!$D$4:$D$40,MATCH(24,'명단입력'!$K$4:$K$40,0)),"")</f>
        <v/>
      </c>
      <c r="E27" s="39" t="str">
        <f t="array" ref="E27">IFERROR(INDEX('명단입력'!$E$4:$E$40,MATCH(24,'명단입력'!$K$4:$K$40,0)),"")</f>
        <v/>
      </c>
      <c r="F27" s="39" t="str">
        <f t="array" ref="F27">IFERROR(INDEX('설정'!$B$4:$B$34,MATCH(E27,'설정'!$A$4:$A$34,0)),"")</f>
        <v/>
      </c>
      <c r="G27" s="39" t="str">
        <f t="array" ref="G27">IFERROR(INDEX('명단입력'!$F$4:$F$40,MATCH(24,'명단입력'!$K$4:$K$40,0)),"")</f>
        <v/>
      </c>
      <c r="H27" s="39" t="str">
        <f t="array" ref="H27">IFERROR(INDEX('명단입력'!$G$4:$G$40,MATCH(24,'명단입력'!$K$4:$K$40,0)),"")</f>
        <v/>
      </c>
      <c r="I27" s="39" t="str">
        <f t="array" ref="I27">IFERROR(INDEX('명단입력'!$H$4:$H$40,MATCH(24,'명단입력'!$K$4:$K$40,0)),"")</f>
        <v/>
      </c>
      <c r="J27" s="39" t="str">
        <f t="array" ref="J27">IFERROR(INDEX('명단입력'!$I$4:$I$40,MATCH(24,'명단입력'!$K$4:$K$40,0)),"")</f>
        <v/>
      </c>
      <c r="K27" s="9" t="str">
        <f t="shared" si="2"/>
        <v/>
      </c>
      <c r="L27" s="9" t="str">
        <f t="shared" si="3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9" t="str">
        <f t="shared" si="1"/>
        <v/>
      </c>
      <c r="B28" s="38" t="str">
        <f t="array" ref="B28">IFERROR(INDEX('명단입력'!$B$4:$B$40,MATCH(25,'명단입력'!$K$4:$K$40,0)),"")</f>
        <v/>
      </c>
      <c r="C28" s="38" t="str">
        <f t="array" ref="C28">IFERROR(INDEX('명단입력'!$C$4:$C$40,MATCH(25,'명단입력'!$K$4:$K$40,0)),"")</f>
        <v/>
      </c>
      <c r="D28" s="39" t="str">
        <f t="array" ref="D28">IFERROR(INDEX('명단입력'!$D$4:$D$40,MATCH(25,'명단입력'!$K$4:$K$40,0)),"")</f>
        <v/>
      </c>
      <c r="E28" s="39" t="str">
        <f t="array" ref="E28">IFERROR(INDEX('명단입력'!$E$4:$E$40,MATCH(25,'명단입력'!$K$4:$K$40,0)),"")</f>
        <v/>
      </c>
      <c r="F28" s="39" t="str">
        <f t="array" ref="F28">IFERROR(INDEX('설정'!$B$4:$B$34,MATCH(E28,'설정'!$A$4:$A$34,0)),"")</f>
        <v/>
      </c>
      <c r="G28" s="39" t="str">
        <f t="array" ref="G28">IFERROR(INDEX('명단입력'!$F$4:$F$40,MATCH(25,'명단입력'!$K$4:$K$40,0)),"")</f>
        <v/>
      </c>
      <c r="H28" s="39" t="str">
        <f t="array" ref="H28">IFERROR(INDEX('명단입력'!$G$4:$G$40,MATCH(25,'명단입력'!$K$4:$K$40,0)),"")</f>
        <v/>
      </c>
      <c r="I28" s="39" t="str">
        <f t="array" ref="I28">IFERROR(INDEX('명단입력'!$H$4:$H$40,MATCH(25,'명단입력'!$K$4:$K$40,0)),"")</f>
        <v/>
      </c>
      <c r="J28" s="39" t="str">
        <f t="array" ref="J28">IFERROR(INDEX('명단입력'!$I$4:$I$40,MATCH(25,'명단입력'!$K$4:$K$40,0)),"")</f>
        <v/>
      </c>
      <c r="K28" s="9" t="str">
        <f t="shared" si="2"/>
        <v/>
      </c>
      <c r="L28" s="9" t="str">
        <f t="shared" si="3"/>
        <v/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9" t="str">
        <f t="shared" si="1"/>
        <v/>
      </c>
      <c r="B29" s="38" t="str">
        <f t="array" ref="B29">IFERROR(INDEX('명단입력'!$B$4:$B$40,MATCH(26,'명단입력'!$K$4:$K$40,0)),"")</f>
        <v/>
      </c>
      <c r="C29" s="38" t="str">
        <f t="array" ref="C29">IFERROR(INDEX('명단입력'!$C$4:$C$40,MATCH(26,'명단입력'!$K$4:$K$40,0)),"")</f>
        <v/>
      </c>
      <c r="D29" s="39" t="str">
        <f t="array" ref="D29">IFERROR(INDEX('명단입력'!$D$4:$D$40,MATCH(26,'명단입력'!$K$4:$K$40,0)),"")</f>
        <v/>
      </c>
      <c r="E29" s="39" t="str">
        <f t="array" ref="E29">IFERROR(INDEX('명단입력'!$E$4:$E$40,MATCH(26,'명단입력'!$K$4:$K$40,0)),"")</f>
        <v/>
      </c>
      <c r="F29" s="39" t="str">
        <f t="array" ref="F29">IFERROR(INDEX('설정'!$B$4:$B$34,MATCH(E29,'설정'!$A$4:$A$34,0)),"")</f>
        <v/>
      </c>
      <c r="G29" s="39" t="str">
        <f t="array" ref="G29">IFERROR(INDEX('명단입력'!$F$4:$F$40,MATCH(26,'명단입력'!$K$4:$K$40,0)),"")</f>
        <v/>
      </c>
      <c r="H29" s="39" t="str">
        <f t="array" ref="H29">IFERROR(INDEX('명단입력'!$G$4:$G$40,MATCH(26,'명단입력'!$K$4:$K$40,0)),"")</f>
        <v/>
      </c>
      <c r="I29" s="39" t="str">
        <f t="array" ref="I29">IFERROR(INDEX('명단입력'!$H$4:$H$40,MATCH(26,'명단입력'!$K$4:$K$40,0)),"")</f>
        <v/>
      </c>
      <c r="J29" s="39" t="str">
        <f t="array" ref="J29">IFERROR(INDEX('명단입력'!$I$4:$I$40,MATCH(26,'명단입력'!$K$4:$K$40,0)),"")</f>
        <v/>
      </c>
      <c r="K29" s="9" t="str">
        <f t="shared" si="2"/>
        <v/>
      </c>
      <c r="L29" s="9" t="str">
        <f t="shared" si="3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9" t="str">
        <f t="shared" si="1"/>
        <v/>
      </c>
      <c r="B30" s="38" t="str">
        <f t="array" ref="B30">IFERROR(INDEX('명단입력'!$B$4:$B$40,MATCH(27,'명단입력'!$K$4:$K$40,0)),"")</f>
        <v/>
      </c>
      <c r="C30" s="38" t="str">
        <f t="array" ref="C30">IFERROR(INDEX('명단입력'!$C$4:$C$40,MATCH(27,'명단입력'!$K$4:$K$40,0)),"")</f>
        <v/>
      </c>
      <c r="D30" s="39" t="str">
        <f t="array" ref="D30">IFERROR(INDEX('명단입력'!$D$4:$D$40,MATCH(27,'명단입력'!$K$4:$K$40,0)),"")</f>
        <v/>
      </c>
      <c r="E30" s="39" t="str">
        <f t="array" ref="E30">IFERROR(INDEX('명단입력'!$E$4:$E$40,MATCH(27,'명단입력'!$K$4:$K$40,0)),"")</f>
        <v/>
      </c>
      <c r="F30" s="39" t="str">
        <f t="array" ref="F30">IFERROR(INDEX('설정'!$B$4:$B$34,MATCH(E30,'설정'!$A$4:$A$34,0)),"")</f>
        <v/>
      </c>
      <c r="G30" s="39" t="str">
        <f t="array" ref="G30">IFERROR(INDEX('명단입력'!$F$4:$F$40,MATCH(27,'명단입력'!$K$4:$K$40,0)),"")</f>
        <v/>
      </c>
      <c r="H30" s="39" t="str">
        <f t="array" ref="H30">IFERROR(INDEX('명단입력'!$G$4:$G$40,MATCH(27,'명단입력'!$K$4:$K$40,0)),"")</f>
        <v/>
      </c>
      <c r="I30" s="39" t="str">
        <f t="array" ref="I30">IFERROR(INDEX('명단입력'!$H$4:$H$40,MATCH(27,'명단입력'!$K$4:$K$40,0)),"")</f>
        <v/>
      </c>
      <c r="J30" s="39" t="str">
        <f t="array" ref="J30">IFERROR(INDEX('명단입력'!$I$4:$I$40,MATCH(27,'명단입력'!$K$4:$K$40,0)),"")</f>
        <v/>
      </c>
      <c r="K30" s="9" t="str">
        <f t="shared" si="2"/>
        <v/>
      </c>
      <c r="L30" s="9" t="str">
        <f t="shared" si="3"/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9" t="str">
        <f t="shared" si="1"/>
        <v/>
      </c>
      <c r="B31" s="38" t="str">
        <f t="array" ref="B31">IFERROR(INDEX('명단입력'!$B$4:$B$40,MATCH(28,'명단입력'!$K$4:$K$40,0)),"")</f>
        <v/>
      </c>
      <c r="C31" s="38" t="str">
        <f t="array" ref="C31">IFERROR(INDEX('명단입력'!$C$4:$C$40,MATCH(28,'명단입력'!$K$4:$K$40,0)),"")</f>
        <v/>
      </c>
      <c r="D31" s="39" t="str">
        <f t="array" ref="D31">IFERROR(INDEX('명단입력'!$D$4:$D$40,MATCH(28,'명단입력'!$K$4:$K$40,0)),"")</f>
        <v/>
      </c>
      <c r="E31" s="39" t="str">
        <f t="array" ref="E31">IFERROR(INDEX('명단입력'!$E$4:$E$40,MATCH(28,'명단입력'!$K$4:$K$40,0)),"")</f>
        <v/>
      </c>
      <c r="F31" s="39" t="str">
        <f t="array" ref="F31">IFERROR(INDEX('설정'!$B$4:$B$34,MATCH(E31,'설정'!$A$4:$A$34,0)),"")</f>
        <v/>
      </c>
      <c r="G31" s="39" t="str">
        <f t="array" ref="G31">IFERROR(INDEX('명단입력'!$F$4:$F$40,MATCH(28,'명단입력'!$K$4:$K$40,0)),"")</f>
        <v/>
      </c>
      <c r="H31" s="39" t="str">
        <f t="array" ref="H31">IFERROR(INDEX('명단입력'!$G$4:$G$40,MATCH(28,'명단입력'!$K$4:$K$40,0)),"")</f>
        <v/>
      </c>
      <c r="I31" s="39" t="str">
        <f t="array" ref="I31">IFERROR(INDEX('명단입력'!$H$4:$H$40,MATCH(28,'명단입력'!$K$4:$K$40,0)),"")</f>
        <v/>
      </c>
      <c r="J31" s="39" t="str">
        <f t="array" ref="J31">IFERROR(INDEX('명단입력'!$I$4:$I$40,MATCH(28,'명단입력'!$K$4:$K$40,0)),"")</f>
        <v/>
      </c>
      <c r="K31" s="9" t="str">
        <f t="shared" si="2"/>
        <v/>
      </c>
      <c r="L31" s="9" t="str">
        <f t="shared" si="3"/>
        <v/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" t="str">
        <f t="shared" si="1"/>
        <v/>
      </c>
      <c r="B32" s="38" t="str">
        <f t="array" ref="B32">IFERROR(INDEX('명단입력'!$B$4:$B$40,MATCH(29,'명단입력'!$K$4:$K$40,0)),"")</f>
        <v/>
      </c>
      <c r="C32" s="38" t="str">
        <f t="array" ref="C32">IFERROR(INDEX('명단입력'!$C$4:$C$40,MATCH(29,'명단입력'!$K$4:$K$40,0)),"")</f>
        <v/>
      </c>
      <c r="D32" s="39" t="str">
        <f t="array" ref="D32">IFERROR(INDEX('명단입력'!$D$4:$D$40,MATCH(29,'명단입력'!$K$4:$K$40,0)),"")</f>
        <v/>
      </c>
      <c r="E32" s="39" t="str">
        <f t="array" ref="E32">IFERROR(INDEX('명단입력'!$E$4:$E$40,MATCH(29,'명단입력'!$K$4:$K$40,0)),"")</f>
        <v/>
      </c>
      <c r="F32" s="39" t="str">
        <f t="array" ref="F32">IFERROR(INDEX('설정'!$B$4:$B$34,MATCH(E32,'설정'!$A$4:$A$34,0)),"")</f>
        <v/>
      </c>
      <c r="G32" s="39" t="str">
        <f t="array" ref="G32">IFERROR(INDEX('명단입력'!$F$4:$F$40,MATCH(29,'명단입력'!$K$4:$K$40,0)),"")</f>
        <v/>
      </c>
      <c r="H32" s="39" t="str">
        <f t="array" ref="H32">IFERROR(INDEX('명단입력'!$G$4:$G$40,MATCH(29,'명단입력'!$K$4:$K$40,0)),"")</f>
        <v/>
      </c>
      <c r="I32" s="39" t="str">
        <f t="array" ref="I32">IFERROR(INDEX('명단입력'!$H$4:$H$40,MATCH(29,'명단입력'!$K$4:$K$40,0)),"")</f>
        <v/>
      </c>
      <c r="J32" s="39" t="str">
        <f t="array" ref="J32">IFERROR(INDEX('명단입력'!$I$4:$I$40,MATCH(29,'명단입력'!$K$4:$K$40,0)),"")</f>
        <v/>
      </c>
      <c r="K32" s="9" t="str">
        <f t="shared" si="2"/>
        <v/>
      </c>
      <c r="L32" s="9" t="str">
        <f t="shared" si="3"/>
        <v/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9" t="str">
        <f t="shared" si="1"/>
        <v/>
      </c>
      <c r="B33" s="38" t="str">
        <f t="array" ref="B33">IFERROR(INDEX('명단입력'!$B$4:$B$40,MATCH(30,'명단입력'!$K$4:$K$40,0)),"")</f>
        <v/>
      </c>
      <c r="C33" s="38" t="str">
        <f t="array" ref="C33">IFERROR(INDEX('명단입력'!$C$4:$C$40,MATCH(30,'명단입력'!$K$4:$K$40,0)),"")</f>
        <v/>
      </c>
      <c r="D33" s="39" t="str">
        <f t="array" ref="D33">IFERROR(INDEX('명단입력'!$D$4:$D$40,MATCH(30,'명단입력'!$K$4:$K$40,0)),"")</f>
        <v/>
      </c>
      <c r="E33" s="39" t="str">
        <f t="array" ref="E33">IFERROR(INDEX('명단입력'!$E$4:$E$40,MATCH(30,'명단입력'!$K$4:$K$40,0)),"")</f>
        <v/>
      </c>
      <c r="F33" s="39" t="str">
        <f t="array" ref="F33">IFERROR(INDEX('설정'!$B$4:$B$34,MATCH(E33,'설정'!$A$4:$A$34,0)),"")</f>
        <v/>
      </c>
      <c r="G33" s="39" t="str">
        <f t="array" ref="G33">IFERROR(INDEX('명단입력'!$F$4:$F$40,MATCH(30,'명단입력'!$K$4:$K$40,0)),"")</f>
        <v/>
      </c>
      <c r="H33" s="39" t="str">
        <f t="array" ref="H33">IFERROR(INDEX('명단입력'!$G$4:$G$40,MATCH(30,'명단입력'!$K$4:$K$40,0)),"")</f>
        <v/>
      </c>
      <c r="I33" s="39" t="str">
        <f t="array" ref="I33">IFERROR(INDEX('명단입력'!$H$4:$H$40,MATCH(30,'명단입력'!$K$4:$K$40,0)),"")</f>
        <v/>
      </c>
      <c r="J33" s="39" t="str">
        <f t="array" ref="J33">IFERROR(INDEX('명단입력'!$I$4:$I$40,MATCH(30,'명단입력'!$K$4:$K$40,0)),"")</f>
        <v/>
      </c>
      <c r="K33" s="9" t="str">
        <f t="shared" si="2"/>
        <v/>
      </c>
      <c r="L33" s="9" t="str">
        <f t="shared" si="3"/>
        <v/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9" t="str">
        <f t="shared" si="1"/>
        <v/>
      </c>
      <c r="B34" s="38" t="str">
        <f t="array" ref="B34">IFERROR(INDEX('명단입력'!$B$4:$B$40,MATCH(31,'명단입력'!$K$4:$K$40,0)),"")</f>
        <v/>
      </c>
      <c r="C34" s="38" t="str">
        <f t="array" ref="C34">IFERROR(INDEX('명단입력'!$C$4:$C$40,MATCH(31,'명단입력'!$K$4:$K$40,0)),"")</f>
        <v/>
      </c>
      <c r="D34" s="39" t="str">
        <f t="array" ref="D34">IFERROR(INDEX('명단입력'!$D$4:$D$40,MATCH(31,'명단입력'!$K$4:$K$40,0)),"")</f>
        <v/>
      </c>
      <c r="E34" s="39" t="str">
        <f t="array" ref="E34">IFERROR(INDEX('명단입력'!$E$4:$E$40,MATCH(31,'명단입력'!$K$4:$K$40,0)),"")</f>
        <v/>
      </c>
      <c r="F34" s="39" t="str">
        <f t="array" ref="F34">IFERROR(INDEX('설정'!$B$4:$B$34,MATCH(E34,'설정'!$A$4:$A$34,0)),"")</f>
        <v/>
      </c>
      <c r="G34" s="39" t="str">
        <f t="array" ref="G34">IFERROR(INDEX('명단입력'!$F$4:$F$40,MATCH(31,'명단입력'!$K$4:$K$40,0)),"")</f>
        <v/>
      </c>
      <c r="H34" s="39" t="str">
        <f t="array" ref="H34">IFERROR(INDEX('명단입력'!$G$4:$G$40,MATCH(31,'명단입력'!$K$4:$K$40,0)),"")</f>
        <v/>
      </c>
      <c r="I34" s="39" t="str">
        <f t="array" ref="I34">IFERROR(INDEX('명단입력'!$H$4:$H$40,MATCH(31,'명단입력'!$K$4:$K$40,0)),"")</f>
        <v/>
      </c>
      <c r="J34" s="39" t="str">
        <f t="array" ref="J34">IFERROR(INDEX('명단입력'!$I$4:$I$40,MATCH(31,'명단입력'!$K$4:$K$40,0)),"")</f>
        <v/>
      </c>
      <c r="K34" s="9" t="str">
        <f t="shared" si="2"/>
        <v/>
      </c>
      <c r="L34" s="9" t="str">
        <f t="shared" si="3"/>
        <v/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9" t="str">
        <f t="shared" si="1"/>
        <v/>
      </c>
      <c r="B35" s="38" t="str">
        <f t="array" ref="B35">IFERROR(INDEX('명단입력'!$B$4:$B$40,MATCH(32,'명단입력'!$K$4:$K$40,0)),"")</f>
        <v/>
      </c>
      <c r="C35" s="38" t="str">
        <f t="array" ref="C35">IFERROR(INDEX('명단입력'!$C$4:$C$40,MATCH(32,'명단입력'!$K$4:$K$40,0)),"")</f>
        <v/>
      </c>
      <c r="D35" s="39" t="str">
        <f t="array" ref="D35">IFERROR(INDEX('명단입력'!$D$4:$D$40,MATCH(32,'명단입력'!$K$4:$K$40,0)),"")</f>
        <v/>
      </c>
      <c r="E35" s="39" t="str">
        <f t="array" ref="E35">IFERROR(INDEX('명단입력'!$E$4:$E$40,MATCH(32,'명단입력'!$K$4:$K$40,0)),"")</f>
        <v/>
      </c>
      <c r="F35" s="39" t="str">
        <f t="array" ref="F35">IFERROR(INDEX('설정'!$B$4:$B$34,MATCH(E35,'설정'!$A$4:$A$34,0)),"")</f>
        <v/>
      </c>
      <c r="G35" s="39" t="str">
        <f t="array" ref="G35">IFERROR(INDEX('명단입력'!$F$4:$F$40,MATCH(32,'명단입력'!$K$4:$K$40,0)),"")</f>
        <v/>
      </c>
      <c r="H35" s="39" t="str">
        <f t="array" ref="H35">IFERROR(INDEX('명단입력'!$G$4:$G$40,MATCH(32,'명단입력'!$K$4:$K$40,0)),"")</f>
        <v/>
      </c>
      <c r="I35" s="39" t="str">
        <f t="array" ref="I35">IFERROR(INDEX('명단입력'!$H$4:$H$40,MATCH(32,'명단입력'!$K$4:$K$40,0)),"")</f>
        <v/>
      </c>
      <c r="J35" s="39" t="str">
        <f t="array" ref="J35">IFERROR(INDEX('명단입력'!$I$4:$I$40,MATCH(32,'명단입력'!$K$4:$K$40,0)),"")</f>
        <v/>
      </c>
      <c r="K35" s="9" t="str">
        <f t="shared" si="2"/>
        <v/>
      </c>
      <c r="L35" s="9" t="str">
        <f t="shared" si="3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9" t="str">
        <f t="shared" si="1"/>
        <v/>
      </c>
      <c r="B36" s="38" t="str">
        <f t="array" ref="B36">IFERROR(INDEX('명단입력'!$B$4:$B$40,MATCH(33,'명단입력'!$K$4:$K$40,0)),"")</f>
        <v/>
      </c>
      <c r="C36" s="38" t="str">
        <f t="array" ref="C36">IFERROR(INDEX('명단입력'!$C$4:$C$40,MATCH(33,'명단입력'!$K$4:$K$40,0)),"")</f>
        <v/>
      </c>
      <c r="D36" s="39" t="str">
        <f t="array" ref="D36">IFERROR(INDEX('명단입력'!$D$4:$D$40,MATCH(33,'명단입력'!$K$4:$K$40,0)),"")</f>
        <v/>
      </c>
      <c r="E36" s="39" t="str">
        <f t="array" ref="E36">IFERROR(INDEX('명단입력'!$E$4:$E$40,MATCH(33,'명단입력'!$K$4:$K$40,0)),"")</f>
        <v/>
      </c>
      <c r="F36" s="39" t="str">
        <f t="array" ref="F36">IFERROR(INDEX('설정'!$B$4:$B$34,MATCH(E36,'설정'!$A$4:$A$34,0)),"")</f>
        <v/>
      </c>
      <c r="G36" s="39" t="str">
        <f t="array" ref="G36">IFERROR(INDEX('명단입력'!$F$4:$F$40,MATCH(33,'명단입력'!$K$4:$K$40,0)),"")</f>
        <v/>
      </c>
      <c r="H36" s="39" t="str">
        <f t="array" ref="H36">IFERROR(INDEX('명단입력'!$G$4:$G$40,MATCH(33,'명단입력'!$K$4:$K$40,0)),"")</f>
        <v/>
      </c>
      <c r="I36" s="39" t="str">
        <f t="array" ref="I36">IFERROR(INDEX('명단입력'!$H$4:$H$40,MATCH(33,'명단입력'!$K$4:$K$40,0)),"")</f>
        <v/>
      </c>
      <c r="J36" s="39" t="str">
        <f t="array" ref="J36">IFERROR(INDEX('명단입력'!$I$4:$I$40,MATCH(33,'명단입력'!$K$4:$K$40,0)),"")</f>
        <v/>
      </c>
      <c r="K36" s="9" t="str">
        <f t="shared" si="2"/>
        <v/>
      </c>
      <c r="L36" s="9" t="str">
        <f t="shared" si="3"/>
        <v/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9" t="str">
        <f t="shared" si="1"/>
        <v/>
      </c>
      <c r="B37" s="38" t="str">
        <f t="array" ref="B37">IFERROR(INDEX('명단입력'!$B$4:$B$40,MATCH(34,'명단입력'!$K$4:$K$40,0)),"")</f>
        <v/>
      </c>
      <c r="C37" s="38" t="str">
        <f t="array" ref="C37">IFERROR(INDEX('명단입력'!$C$4:$C$40,MATCH(34,'명단입력'!$K$4:$K$40,0)),"")</f>
        <v/>
      </c>
      <c r="D37" s="39" t="str">
        <f t="array" ref="D37">IFERROR(INDEX('명단입력'!$D$4:$D$40,MATCH(34,'명단입력'!$K$4:$K$40,0)),"")</f>
        <v/>
      </c>
      <c r="E37" s="39" t="str">
        <f t="array" ref="E37">IFERROR(INDEX('명단입력'!$E$4:$E$40,MATCH(34,'명단입력'!$K$4:$K$40,0)),"")</f>
        <v/>
      </c>
      <c r="F37" s="39" t="str">
        <f t="array" ref="F37">IFERROR(INDEX('설정'!$B$4:$B$34,MATCH(E37,'설정'!$A$4:$A$34,0)),"")</f>
        <v/>
      </c>
      <c r="G37" s="39" t="str">
        <f t="array" ref="G37">IFERROR(INDEX('명단입력'!$F$4:$F$40,MATCH(34,'명단입력'!$K$4:$K$40,0)),"")</f>
        <v/>
      </c>
      <c r="H37" s="39" t="str">
        <f t="array" ref="H37">IFERROR(INDEX('명단입력'!$G$4:$G$40,MATCH(34,'명단입력'!$K$4:$K$40,0)),"")</f>
        <v/>
      </c>
      <c r="I37" s="39" t="str">
        <f t="array" ref="I37">IFERROR(INDEX('명단입력'!$H$4:$H$40,MATCH(34,'명단입력'!$K$4:$K$40,0)),"")</f>
        <v/>
      </c>
      <c r="J37" s="39" t="str">
        <f t="array" ref="J37">IFERROR(INDEX('명단입력'!$I$4:$I$40,MATCH(34,'명단입력'!$K$4:$K$40,0)),"")</f>
        <v/>
      </c>
      <c r="K37" s="9" t="str">
        <f t="shared" si="2"/>
        <v/>
      </c>
      <c r="L37" s="9" t="str">
        <f t="shared" si="3"/>
        <v/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9" t="str">
        <f t="shared" si="1"/>
        <v/>
      </c>
      <c r="B38" s="38" t="str">
        <f t="array" ref="B38">IFERROR(INDEX('명단입력'!$B$4:$B$40,MATCH(35,'명단입력'!$K$4:$K$40,0)),"")</f>
        <v/>
      </c>
      <c r="C38" s="38" t="str">
        <f t="array" ref="C38">IFERROR(INDEX('명단입력'!$C$4:$C$40,MATCH(35,'명단입력'!$K$4:$K$40,0)),"")</f>
        <v/>
      </c>
      <c r="D38" s="39" t="str">
        <f t="array" ref="D38">IFERROR(INDEX('명단입력'!$D$4:$D$40,MATCH(35,'명단입력'!$K$4:$K$40,0)),"")</f>
        <v/>
      </c>
      <c r="E38" s="39" t="str">
        <f t="array" ref="E38">IFERROR(INDEX('명단입력'!$E$4:$E$40,MATCH(35,'명단입력'!$K$4:$K$40,0)),"")</f>
        <v/>
      </c>
      <c r="F38" s="39" t="str">
        <f t="array" ref="F38">IFERROR(INDEX('설정'!$B$4:$B$34,MATCH(E38,'설정'!$A$4:$A$34,0)),"")</f>
        <v/>
      </c>
      <c r="G38" s="39" t="str">
        <f t="array" ref="G38">IFERROR(INDEX('명단입력'!$F$4:$F$40,MATCH(35,'명단입력'!$K$4:$K$40,0)),"")</f>
        <v/>
      </c>
      <c r="H38" s="39" t="str">
        <f t="array" ref="H38">IFERROR(INDEX('명단입력'!$G$4:$G$40,MATCH(35,'명단입력'!$K$4:$K$40,0)),"")</f>
        <v/>
      </c>
      <c r="I38" s="39" t="str">
        <f t="array" ref="I38">IFERROR(INDEX('명단입력'!$H$4:$H$40,MATCH(35,'명단입력'!$K$4:$K$40,0)),"")</f>
        <v/>
      </c>
      <c r="J38" s="39" t="str">
        <f t="array" ref="J38">IFERROR(INDEX('명단입력'!$I$4:$I$40,MATCH(35,'명단입력'!$K$4:$K$40,0)),"")</f>
        <v/>
      </c>
      <c r="K38" s="9" t="str">
        <f t="shared" si="2"/>
        <v/>
      </c>
      <c r="L38" s="9" t="str">
        <f t="shared" si="3"/>
        <v/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9" t="str">
        <f t="shared" si="1"/>
        <v/>
      </c>
      <c r="B39" s="38" t="str">
        <f t="array" ref="B39">IFERROR(INDEX('명단입력'!$B$4:$B$40,MATCH(36,'명단입력'!$K$4:$K$40,0)),"")</f>
        <v/>
      </c>
      <c r="C39" s="38" t="str">
        <f t="array" ref="C39">IFERROR(INDEX('명단입력'!$C$4:$C$40,MATCH(36,'명단입력'!$K$4:$K$40,0)),"")</f>
        <v/>
      </c>
      <c r="D39" s="39" t="str">
        <f t="array" ref="D39">IFERROR(INDEX('명단입력'!$D$4:$D$40,MATCH(36,'명단입력'!$K$4:$K$40,0)),"")</f>
        <v/>
      </c>
      <c r="E39" s="39" t="str">
        <f t="array" ref="E39">IFERROR(INDEX('명단입력'!$E$4:$E$40,MATCH(36,'명단입력'!$K$4:$K$40,0)),"")</f>
        <v/>
      </c>
      <c r="F39" s="39" t="str">
        <f t="array" ref="F39">IFERROR(INDEX('설정'!$B$4:$B$34,MATCH(E39,'설정'!$A$4:$A$34,0)),"")</f>
        <v/>
      </c>
      <c r="G39" s="39" t="str">
        <f t="array" ref="G39">IFERROR(INDEX('명단입력'!$F$4:$F$40,MATCH(36,'명단입력'!$K$4:$K$40,0)),"")</f>
        <v/>
      </c>
      <c r="H39" s="39" t="str">
        <f t="array" ref="H39">IFERROR(INDEX('명단입력'!$G$4:$G$40,MATCH(36,'명단입력'!$K$4:$K$40,0)),"")</f>
        <v/>
      </c>
      <c r="I39" s="39" t="str">
        <f t="array" ref="I39">IFERROR(INDEX('명단입력'!$H$4:$H$40,MATCH(36,'명단입력'!$K$4:$K$40,0)),"")</f>
        <v/>
      </c>
      <c r="J39" s="39" t="str">
        <f t="array" ref="J39">IFERROR(INDEX('명단입력'!$I$4:$I$40,MATCH(36,'명단입력'!$K$4:$K$40,0)),"")</f>
        <v/>
      </c>
      <c r="K39" s="9" t="str">
        <f t="shared" si="2"/>
        <v/>
      </c>
      <c r="L39" s="9" t="str">
        <f t="shared" si="3"/>
        <v/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9" t="str">
        <f t="shared" si="1"/>
        <v/>
      </c>
      <c r="B40" s="38" t="str">
        <f t="array" ref="B40">IFERROR(INDEX('명단입력'!$B$4:$B$40,MATCH(37,'명단입력'!$K$4:$K$40,0)),"")</f>
        <v/>
      </c>
      <c r="C40" s="38" t="str">
        <f t="array" ref="C40">IFERROR(INDEX('명단입력'!$C$4:$C$40,MATCH(37,'명단입력'!$K$4:$K$40,0)),"")</f>
        <v/>
      </c>
      <c r="D40" s="39" t="str">
        <f t="array" ref="D40">IFERROR(INDEX('명단입력'!$D$4:$D$40,MATCH(37,'명단입력'!$K$4:$K$40,0)),"")</f>
        <v/>
      </c>
      <c r="E40" s="39" t="str">
        <f t="array" ref="E40">IFERROR(INDEX('명단입력'!$E$4:$E$40,MATCH(37,'명단입력'!$K$4:$K$40,0)),"")</f>
        <v/>
      </c>
      <c r="F40" s="39" t="str">
        <f t="array" ref="F40">IFERROR(INDEX('설정'!$B$4:$B$34,MATCH(E40,'설정'!$A$4:$A$34,0)),"")</f>
        <v/>
      </c>
      <c r="G40" s="39" t="str">
        <f t="array" ref="G40">IFERROR(INDEX('명단입력'!$F$4:$F$40,MATCH(37,'명단입력'!$K$4:$K$40,0)),"")</f>
        <v/>
      </c>
      <c r="H40" s="39" t="str">
        <f t="array" ref="H40">IFERROR(INDEX('명단입력'!$G$4:$G$40,MATCH(37,'명단입력'!$K$4:$K$40,0)),"")</f>
        <v/>
      </c>
      <c r="I40" s="39" t="str">
        <f t="array" ref="I40">IFERROR(INDEX('명단입력'!$H$4:$H$40,MATCH(37,'명단입력'!$K$4:$K$40,0)),"")</f>
        <v/>
      </c>
      <c r="J40" s="39" t="str">
        <f t="array" ref="J40">IFERROR(INDEX('명단입력'!$I$4:$I$40,MATCH(37,'명단입력'!$K$4:$K$40,0)),"")</f>
        <v/>
      </c>
      <c r="K40" s="9" t="str">
        <f t="shared" si="2"/>
        <v/>
      </c>
      <c r="L40" s="9" t="str">
        <f t="shared" si="3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6.0"/>
    <col customWidth="1" min="2" max="2" width="16.0"/>
    <col customWidth="1" min="3" max="3" width="24.0"/>
    <col customWidth="1" min="4" max="4" width="10.0"/>
    <col customWidth="1" min="5" max="5" width="12.0"/>
    <col customWidth="1" min="6" max="9" width="10.0"/>
    <col customWidth="1" min="10" max="10" width="2.0"/>
    <col customWidth="1" min="11" max="11" width="9.0"/>
    <col customWidth="1" min="12" max="26" width="8.71"/>
  </cols>
  <sheetData>
    <row r="1" ht="27.75" customHeight="1">
      <c r="A1" s="1" t="s">
        <v>136</v>
      </c>
      <c r="B1" s="2"/>
      <c r="C1" s="2"/>
      <c r="D1" s="2"/>
      <c r="E1" s="2"/>
      <c r="F1" s="2"/>
      <c r="G1" s="2"/>
      <c r="H1" s="2"/>
      <c r="I1" s="3"/>
      <c r="J1" s="4"/>
      <c r="K1" s="4"/>
    </row>
    <row r="2" ht="25.5" customHeight="1">
      <c r="A2" s="5" t="s">
        <v>137</v>
      </c>
      <c r="J2" s="4"/>
      <c r="K2" s="4"/>
    </row>
    <row r="3" ht="29.25" customHeight="1">
      <c r="A3" s="6" t="s">
        <v>7</v>
      </c>
      <c r="B3" s="6" t="s">
        <v>9</v>
      </c>
      <c r="C3" s="6" t="s">
        <v>10</v>
      </c>
      <c r="D3" s="6" t="s">
        <v>30</v>
      </c>
      <c r="E3" s="6" t="s">
        <v>24</v>
      </c>
      <c r="F3" s="6" t="s">
        <v>12</v>
      </c>
      <c r="G3" s="6" t="s">
        <v>14</v>
      </c>
      <c r="H3" s="6" t="s">
        <v>16</v>
      </c>
      <c r="I3" s="6" t="s">
        <v>18</v>
      </c>
      <c r="J3" s="4"/>
      <c r="K3" s="6" t="s">
        <v>138</v>
      </c>
    </row>
    <row r="4" ht="15.0" customHeight="1">
      <c r="A4" s="9" t="str">
        <f t="shared" ref="A4:A40" si="1">IF(B4&lt;&gt;"",ROW()-3,"")</f>
        <v/>
      </c>
      <c r="B4" s="40"/>
      <c r="C4" s="38" t="str">
        <f t="array" ref="C4">IFERROR(INDEX('참가자DB'!$C$4:$C$40,MATCH(B4,'참가자DB'!$B$4:$B$40,0)),"")</f>
        <v/>
      </c>
      <c r="D4" s="13" t="s">
        <v>40</v>
      </c>
      <c r="E4" s="41" t="str">
        <f t="array" ref="E4">IFERROR(INDEX('참가자DB'!$H$4:$H$40,MATCH(B4,'참가자DB'!$B$4:$B$40,0)),"")</f>
        <v/>
      </c>
      <c r="F4" s="39" t="str">
        <f t="array" ref="F4">IFERROR(INDEX('참가자DB'!$D$4:$D$40,MATCH(B4,'참가자DB'!$B$4:$B$40,0)),"")</f>
        <v/>
      </c>
      <c r="G4" s="39" t="str">
        <f t="array" ref="G4">IFERROR(INDEX('참가자DB'!$E$4:$E$40,MATCH(B4,'참가자DB'!$B$4:$B$40,0)),"")</f>
        <v/>
      </c>
      <c r="H4" s="39" t="str">
        <f t="array" ref="H4">IFERROR(INDEX('참가자DB'!$F$4:$F$40,MATCH(B4,'참가자DB'!$B$4:$B$40,0)),"")</f>
        <v/>
      </c>
      <c r="I4" s="39" t="str">
        <f t="array" ref="I4">IFERROR(INDEX('참가자DB'!$G$4:$G$40,MATCH(B4,'참가자DB'!$B$4:$B$40,0)),"")</f>
        <v/>
      </c>
      <c r="J4" s="4"/>
      <c r="K4" s="42" t="str">
        <f t="shared" ref="K4:K40" si="2">IF($B4&lt;&gt;"",SUMPRODUCT(--($B$4:$B4&lt;&gt;"")),"")</f>
        <v/>
      </c>
    </row>
    <row r="5" ht="29.25" customHeight="1">
      <c r="A5" s="9" t="str">
        <f t="shared" si="1"/>
        <v/>
      </c>
      <c r="B5" s="40"/>
      <c r="C5" s="38" t="str">
        <f t="array" ref="C5">IFERROR(INDEX('참가자DB'!$C$4:$C$40,MATCH(B5,'참가자DB'!$B$4:$B$40,0)),"")</f>
        <v/>
      </c>
      <c r="D5" s="13" t="s">
        <v>40</v>
      </c>
      <c r="E5" s="41" t="str">
        <f t="array" ref="E5">IFERROR(INDEX('참가자DB'!$H$4:$H$40,MATCH(B5,'참가자DB'!$B$4:$B$40,0)),"")</f>
        <v/>
      </c>
      <c r="F5" s="39" t="str">
        <f t="array" ref="F5">IFERROR(INDEX('참가자DB'!$D$4:$D$40,MATCH(B5,'참가자DB'!$B$4:$B$40,0)),"")</f>
        <v/>
      </c>
      <c r="G5" s="39" t="str">
        <f t="array" ref="G5">IFERROR(INDEX('참가자DB'!$E$4:$E$40,MATCH(B5,'참가자DB'!$B$4:$B$40,0)),"")</f>
        <v/>
      </c>
      <c r="H5" s="39" t="str">
        <f t="array" ref="H5">IFERROR(INDEX('참가자DB'!$F$4:$F$40,MATCH(B5,'참가자DB'!$B$4:$B$40,0)),"")</f>
        <v/>
      </c>
      <c r="I5" s="39" t="str">
        <f t="array" ref="I5">IFERROR(INDEX('참가자DB'!$G$4:$G$40,MATCH(B5,'참가자DB'!$B$4:$B$40,0)),"")</f>
        <v/>
      </c>
      <c r="J5" s="4"/>
      <c r="K5" s="42" t="str">
        <f t="shared" si="2"/>
        <v/>
      </c>
    </row>
    <row r="6" ht="15.0" customHeight="1">
      <c r="A6" s="9" t="str">
        <f t="shared" si="1"/>
        <v/>
      </c>
      <c r="B6" s="40"/>
      <c r="C6" s="38" t="str">
        <f t="array" ref="C6">IFERROR(INDEX('참가자DB'!$C$4:$C$40,MATCH(B6,'참가자DB'!$B$4:$B$40,0)),"")</f>
        <v/>
      </c>
      <c r="D6" s="13" t="s">
        <v>40</v>
      </c>
      <c r="E6" s="41" t="str">
        <f t="array" ref="E6">IFERROR(INDEX('참가자DB'!$H$4:$H$40,MATCH(B6,'참가자DB'!$B$4:$B$40,0)),"")</f>
        <v/>
      </c>
      <c r="F6" s="39" t="str">
        <f t="array" ref="F6">IFERROR(INDEX('참가자DB'!$D$4:$D$40,MATCH(B6,'참가자DB'!$B$4:$B$40,0)),"")</f>
        <v/>
      </c>
      <c r="G6" s="39" t="str">
        <f t="array" ref="G6">IFERROR(INDEX('참가자DB'!$E$4:$E$40,MATCH(B6,'참가자DB'!$B$4:$B$40,0)),"")</f>
        <v/>
      </c>
      <c r="H6" s="39" t="str">
        <f t="array" ref="H6">IFERROR(INDEX('참가자DB'!$F$4:$F$40,MATCH(B6,'참가자DB'!$B$4:$B$40,0)),"")</f>
        <v/>
      </c>
      <c r="I6" s="39" t="str">
        <f t="array" ref="I6">IFERROR(INDEX('참가자DB'!$G$4:$G$40,MATCH(B6,'참가자DB'!$B$4:$B$40,0)),"")</f>
        <v/>
      </c>
      <c r="J6" s="4"/>
      <c r="K6" s="42" t="str">
        <f t="shared" si="2"/>
        <v/>
      </c>
    </row>
    <row r="7" ht="15.0" customHeight="1">
      <c r="A7" s="9" t="str">
        <f t="shared" si="1"/>
        <v/>
      </c>
      <c r="B7" s="40"/>
      <c r="C7" s="38" t="str">
        <f t="array" ref="C7">IFERROR(INDEX('참가자DB'!$C$4:$C$40,MATCH(B7,'참가자DB'!$B$4:$B$40,0)),"")</f>
        <v/>
      </c>
      <c r="D7" s="13" t="s">
        <v>40</v>
      </c>
      <c r="E7" s="41" t="str">
        <f t="array" ref="E7">IFERROR(INDEX('참가자DB'!$H$4:$H$40,MATCH(B7,'참가자DB'!$B$4:$B$40,0)),"")</f>
        <v/>
      </c>
      <c r="F7" s="39" t="str">
        <f t="array" ref="F7">IFERROR(INDEX('참가자DB'!$D$4:$D$40,MATCH(B7,'참가자DB'!$B$4:$B$40,0)),"")</f>
        <v/>
      </c>
      <c r="G7" s="39" t="str">
        <f t="array" ref="G7">IFERROR(INDEX('참가자DB'!$E$4:$E$40,MATCH(B7,'참가자DB'!$B$4:$B$40,0)),"")</f>
        <v/>
      </c>
      <c r="H7" s="39" t="str">
        <f t="array" ref="H7">IFERROR(INDEX('참가자DB'!$F$4:$F$40,MATCH(B7,'참가자DB'!$B$4:$B$40,0)),"")</f>
        <v/>
      </c>
      <c r="I7" s="39" t="str">
        <f t="array" ref="I7">IFERROR(INDEX('참가자DB'!$G$4:$G$40,MATCH(B7,'참가자DB'!$B$4:$B$40,0)),"")</f>
        <v/>
      </c>
      <c r="J7" s="4"/>
      <c r="K7" s="42" t="str">
        <f t="shared" si="2"/>
        <v/>
      </c>
    </row>
    <row r="8" ht="15.0" customHeight="1">
      <c r="A8" s="9" t="str">
        <f t="shared" si="1"/>
        <v/>
      </c>
      <c r="B8" s="40"/>
      <c r="C8" s="38" t="str">
        <f t="array" ref="C8">IFERROR(INDEX('참가자DB'!$C$4:$C$40,MATCH(B8,'참가자DB'!$B$4:$B$40,0)),"")</f>
        <v/>
      </c>
      <c r="D8" s="13" t="s">
        <v>40</v>
      </c>
      <c r="E8" s="41" t="str">
        <f t="array" ref="E8">IFERROR(INDEX('참가자DB'!$H$4:$H$40,MATCH(B8,'참가자DB'!$B$4:$B$40,0)),"")</f>
        <v/>
      </c>
      <c r="F8" s="39" t="str">
        <f t="array" ref="F8">IFERROR(INDEX('참가자DB'!$D$4:$D$40,MATCH(B8,'참가자DB'!$B$4:$B$40,0)),"")</f>
        <v/>
      </c>
      <c r="G8" s="39" t="str">
        <f t="array" ref="G8">IFERROR(INDEX('참가자DB'!$E$4:$E$40,MATCH(B8,'참가자DB'!$B$4:$B$40,0)),"")</f>
        <v/>
      </c>
      <c r="H8" s="39" t="str">
        <f t="array" ref="H8">IFERROR(INDEX('참가자DB'!$F$4:$F$40,MATCH(B8,'참가자DB'!$B$4:$B$40,0)),"")</f>
        <v/>
      </c>
      <c r="I8" s="39" t="str">
        <f t="array" ref="I8">IFERROR(INDEX('참가자DB'!$G$4:$G$40,MATCH(B8,'참가자DB'!$B$4:$B$40,0)),"")</f>
        <v/>
      </c>
      <c r="J8" s="4"/>
      <c r="K8" s="42" t="str">
        <f t="shared" si="2"/>
        <v/>
      </c>
    </row>
    <row r="9" ht="15.0" customHeight="1">
      <c r="A9" s="9" t="str">
        <f t="shared" si="1"/>
        <v/>
      </c>
      <c r="B9" s="43"/>
      <c r="C9" s="38" t="str">
        <f t="array" ref="C9">IFERROR(INDEX('참가자DB'!$C$4:$C$40,MATCH(B9,'참가자DB'!$B$4:$B$40,0)),"")</f>
        <v/>
      </c>
      <c r="D9" s="13" t="s">
        <v>40</v>
      </c>
      <c r="E9" s="41" t="str">
        <f t="array" ref="E9">IFERROR(INDEX('참가자DB'!$H$4:$H$40,MATCH(B9,'참가자DB'!$B$4:$B$40,0)),"")</f>
        <v/>
      </c>
      <c r="F9" s="39" t="str">
        <f t="array" ref="F9">IFERROR(INDEX('참가자DB'!$D$4:$D$40,MATCH(B9,'참가자DB'!$B$4:$B$40,0)),"")</f>
        <v/>
      </c>
      <c r="G9" s="39" t="str">
        <f t="array" ref="G9">IFERROR(INDEX('참가자DB'!$E$4:$E$40,MATCH(B9,'참가자DB'!$B$4:$B$40,0)),"")</f>
        <v/>
      </c>
      <c r="H9" s="39" t="str">
        <f t="array" ref="H9">IFERROR(INDEX('참가자DB'!$F$4:$F$40,MATCH(B9,'참가자DB'!$B$4:$B$40,0)),"")</f>
        <v/>
      </c>
      <c r="I9" s="39" t="str">
        <f t="array" ref="I9">IFERROR(INDEX('참가자DB'!$G$4:$G$40,MATCH(B9,'참가자DB'!$B$4:$B$40,0)),"")</f>
        <v/>
      </c>
      <c r="J9" s="4"/>
      <c r="K9" s="42" t="str">
        <f t="shared" si="2"/>
        <v/>
      </c>
    </row>
    <row r="10" ht="15.0" customHeight="1">
      <c r="A10" s="9" t="str">
        <f t="shared" si="1"/>
        <v/>
      </c>
      <c r="B10" s="43"/>
      <c r="C10" s="38" t="str">
        <f t="array" ref="C10">IFERROR(INDEX('참가자DB'!$C$4:$C$40,MATCH(B10,'참가자DB'!$B$4:$B$40,0)),"")</f>
        <v/>
      </c>
      <c r="D10" s="13" t="s">
        <v>40</v>
      </c>
      <c r="E10" s="41" t="str">
        <f t="array" ref="E10">IFERROR(INDEX('참가자DB'!$H$4:$H$40,MATCH(B10,'참가자DB'!$B$4:$B$40,0)),"")</f>
        <v/>
      </c>
      <c r="F10" s="39" t="str">
        <f t="array" ref="F10">IFERROR(INDEX('참가자DB'!$D$4:$D$40,MATCH(B10,'참가자DB'!$B$4:$B$40,0)),"")</f>
        <v/>
      </c>
      <c r="G10" s="39" t="str">
        <f t="array" ref="G10">IFERROR(INDEX('참가자DB'!$E$4:$E$40,MATCH(B10,'참가자DB'!$B$4:$B$40,0)),"")</f>
        <v/>
      </c>
      <c r="H10" s="39" t="str">
        <f t="array" ref="H10">IFERROR(INDEX('참가자DB'!$F$4:$F$40,MATCH(B10,'참가자DB'!$B$4:$B$40,0)),"")</f>
        <v/>
      </c>
      <c r="I10" s="39" t="str">
        <f t="array" ref="I10">IFERROR(INDEX('참가자DB'!$G$4:$G$40,MATCH(B10,'참가자DB'!$B$4:$B$40,0)),"")</f>
        <v/>
      </c>
      <c r="J10" s="4"/>
      <c r="K10" s="42" t="str">
        <f t="shared" si="2"/>
        <v/>
      </c>
    </row>
    <row r="11" ht="15.0" customHeight="1">
      <c r="A11" s="9" t="str">
        <f t="shared" si="1"/>
        <v/>
      </c>
      <c r="B11" s="40"/>
      <c r="C11" s="38" t="str">
        <f t="array" ref="C11">IFERROR(INDEX('참가자DB'!$C$4:$C$40,MATCH(B11,'참가자DB'!$B$4:$B$40,0)),"")</f>
        <v/>
      </c>
      <c r="D11" s="13" t="s">
        <v>40</v>
      </c>
      <c r="E11" s="41" t="str">
        <f t="array" ref="E11">IFERROR(INDEX('참가자DB'!$H$4:$H$40,MATCH(B11,'참가자DB'!$B$4:$B$40,0)),"")</f>
        <v/>
      </c>
      <c r="F11" s="39" t="str">
        <f t="array" ref="F11">IFERROR(INDEX('참가자DB'!$D$4:$D$40,MATCH(B11,'참가자DB'!$B$4:$B$40,0)),"")</f>
        <v/>
      </c>
      <c r="G11" s="39" t="str">
        <f t="array" ref="G11">IFERROR(INDEX('참가자DB'!$E$4:$E$40,MATCH(B11,'참가자DB'!$B$4:$B$40,0)),"")</f>
        <v/>
      </c>
      <c r="H11" s="39" t="str">
        <f t="array" ref="H11">IFERROR(INDEX('참가자DB'!$F$4:$F$40,MATCH(B11,'참가자DB'!$B$4:$B$40,0)),"")</f>
        <v/>
      </c>
      <c r="I11" s="39" t="str">
        <f t="array" ref="I11">IFERROR(INDEX('참가자DB'!$G$4:$G$40,MATCH(B11,'참가자DB'!$B$4:$B$40,0)),"")</f>
        <v/>
      </c>
      <c r="J11" s="4"/>
      <c r="K11" s="42" t="str">
        <f t="shared" si="2"/>
        <v/>
      </c>
    </row>
    <row r="12" ht="15.0" customHeight="1">
      <c r="A12" s="9" t="str">
        <f t="shared" si="1"/>
        <v/>
      </c>
      <c r="B12" s="40"/>
      <c r="C12" s="38" t="str">
        <f t="array" ref="C12">IFERROR(INDEX('참가자DB'!$C$4:$C$40,MATCH(B12,'참가자DB'!$B$4:$B$40,0)),"")</f>
        <v/>
      </c>
      <c r="D12" s="13" t="s">
        <v>40</v>
      </c>
      <c r="E12" s="41" t="str">
        <f t="array" ref="E12">IFERROR(INDEX('참가자DB'!$H$4:$H$40,MATCH(B12,'참가자DB'!$B$4:$B$40,0)),"")</f>
        <v/>
      </c>
      <c r="F12" s="39" t="str">
        <f t="array" ref="F12">IFERROR(INDEX('참가자DB'!$D$4:$D$40,MATCH(B12,'참가자DB'!$B$4:$B$40,0)),"")</f>
        <v/>
      </c>
      <c r="G12" s="39" t="str">
        <f t="array" ref="G12">IFERROR(INDEX('참가자DB'!$E$4:$E$40,MATCH(B12,'참가자DB'!$B$4:$B$40,0)),"")</f>
        <v/>
      </c>
      <c r="H12" s="39" t="str">
        <f t="array" ref="H12">IFERROR(INDEX('참가자DB'!$F$4:$F$40,MATCH(B12,'참가자DB'!$B$4:$B$40,0)),"")</f>
        <v/>
      </c>
      <c r="I12" s="39" t="str">
        <f t="array" ref="I12">IFERROR(INDEX('참가자DB'!$G$4:$G$40,MATCH(B12,'참가자DB'!$B$4:$B$40,0)),"")</f>
        <v/>
      </c>
      <c r="J12" s="4"/>
      <c r="K12" s="42" t="str">
        <f t="shared" si="2"/>
        <v/>
      </c>
    </row>
    <row r="13" ht="15.0" customHeight="1">
      <c r="A13" s="9" t="str">
        <f t="shared" si="1"/>
        <v/>
      </c>
      <c r="B13" s="40"/>
      <c r="C13" s="38" t="str">
        <f t="array" ref="C13">IFERROR(INDEX('참가자DB'!$C$4:$C$40,MATCH(B13,'참가자DB'!$B$4:$B$40,0)),"")</f>
        <v/>
      </c>
      <c r="D13" s="13" t="s">
        <v>40</v>
      </c>
      <c r="E13" s="41" t="str">
        <f t="array" ref="E13">IFERROR(INDEX('참가자DB'!$H$4:$H$40,MATCH(B13,'참가자DB'!$B$4:$B$40,0)),"")</f>
        <v/>
      </c>
      <c r="F13" s="39" t="str">
        <f t="array" ref="F13">IFERROR(INDEX('참가자DB'!$D$4:$D$40,MATCH(B13,'참가자DB'!$B$4:$B$40,0)),"")</f>
        <v/>
      </c>
      <c r="G13" s="39" t="str">
        <f t="array" ref="G13">IFERROR(INDEX('참가자DB'!$E$4:$E$40,MATCH(B13,'참가자DB'!$B$4:$B$40,0)),"")</f>
        <v/>
      </c>
      <c r="H13" s="39" t="str">
        <f t="array" ref="H13">IFERROR(INDEX('참가자DB'!$F$4:$F$40,MATCH(B13,'참가자DB'!$B$4:$B$40,0)),"")</f>
        <v/>
      </c>
      <c r="I13" s="39" t="str">
        <f t="array" ref="I13">IFERROR(INDEX('참가자DB'!$G$4:$G$40,MATCH(B13,'참가자DB'!$B$4:$B$40,0)),"")</f>
        <v/>
      </c>
      <c r="J13" s="4"/>
      <c r="K13" s="42" t="str">
        <f t="shared" si="2"/>
        <v/>
      </c>
    </row>
    <row r="14" ht="15.0" customHeight="1">
      <c r="A14" s="9" t="str">
        <f t="shared" si="1"/>
        <v/>
      </c>
      <c r="B14" s="10"/>
      <c r="C14" s="38" t="str">
        <f t="array" ref="C14">IFERROR(INDEX('참가자DB'!$C$4:$C$40,MATCH(B14,'참가자DB'!$B$4:$B$40,0)),"")</f>
        <v/>
      </c>
      <c r="D14" s="13" t="s">
        <v>49</v>
      </c>
      <c r="E14" s="41" t="str">
        <f t="array" ref="E14">IFERROR(INDEX('참가자DB'!$H$4:$H$40,MATCH(B14,'참가자DB'!$B$4:$B$40,0)),"")</f>
        <v/>
      </c>
      <c r="F14" s="39" t="str">
        <f t="array" ref="F14">IFERROR(INDEX('참가자DB'!$D$4:$D$40,MATCH(B14,'참가자DB'!$B$4:$B$40,0)),"")</f>
        <v/>
      </c>
      <c r="G14" s="39" t="str">
        <f t="array" ref="G14">IFERROR(INDEX('참가자DB'!$E$4:$E$40,MATCH(B14,'참가자DB'!$B$4:$B$40,0)),"")</f>
        <v/>
      </c>
      <c r="H14" s="39" t="str">
        <f t="array" ref="H14">IFERROR(INDEX('참가자DB'!$F$4:$F$40,MATCH(B14,'참가자DB'!$B$4:$B$40,0)),"")</f>
        <v/>
      </c>
      <c r="I14" s="39" t="str">
        <f t="array" ref="I14">IFERROR(INDEX('참가자DB'!$G$4:$G$40,MATCH(B14,'참가자DB'!$B$4:$B$40,0)),"")</f>
        <v/>
      </c>
      <c r="J14" s="4"/>
      <c r="K14" s="42" t="str">
        <f t="shared" si="2"/>
        <v/>
      </c>
    </row>
    <row r="15" ht="15.0" customHeight="1">
      <c r="A15" s="9" t="str">
        <f t="shared" si="1"/>
        <v/>
      </c>
      <c r="B15" s="10"/>
      <c r="C15" s="38" t="str">
        <f t="array" ref="C15">IFERROR(INDEX('참가자DB'!$C$4:$C$40,MATCH(B15,'참가자DB'!$B$4:$B$40,0)),"")</f>
        <v/>
      </c>
      <c r="D15" s="13" t="s">
        <v>49</v>
      </c>
      <c r="E15" s="41" t="str">
        <f t="array" ref="E15">IFERROR(INDEX('참가자DB'!$H$4:$H$40,MATCH(B15,'참가자DB'!$B$4:$B$40,0)),"")</f>
        <v/>
      </c>
      <c r="F15" s="39" t="str">
        <f t="array" ref="F15">IFERROR(INDEX('참가자DB'!$D$4:$D$40,MATCH(B15,'참가자DB'!$B$4:$B$40,0)),"")</f>
        <v/>
      </c>
      <c r="G15" s="39" t="str">
        <f t="array" ref="G15">IFERROR(INDEX('참가자DB'!$E$4:$E$40,MATCH(B15,'참가자DB'!$B$4:$B$40,0)),"")</f>
        <v/>
      </c>
      <c r="H15" s="39" t="str">
        <f t="array" ref="H15">IFERROR(INDEX('참가자DB'!$F$4:$F$40,MATCH(B15,'참가자DB'!$B$4:$B$40,0)),"")</f>
        <v/>
      </c>
      <c r="I15" s="39" t="str">
        <f t="array" ref="I15">IFERROR(INDEX('참가자DB'!$G$4:$G$40,MATCH(B15,'참가자DB'!$B$4:$B$40,0)),"")</f>
        <v/>
      </c>
      <c r="J15" s="4"/>
      <c r="K15" s="42" t="str">
        <f t="shared" si="2"/>
        <v/>
      </c>
    </row>
    <row r="16" ht="15.0" customHeight="1">
      <c r="A16" s="9" t="str">
        <f t="shared" si="1"/>
        <v/>
      </c>
      <c r="B16" s="10"/>
      <c r="C16" s="38" t="str">
        <f t="array" ref="C16">IFERROR(INDEX('참가자DB'!$C$4:$C$40,MATCH(B16,'참가자DB'!$B$4:$B$40,0)),"")</f>
        <v/>
      </c>
      <c r="D16" s="13" t="s">
        <v>49</v>
      </c>
      <c r="E16" s="41" t="str">
        <f t="array" ref="E16">IFERROR(INDEX('참가자DB'!$H$4:$H$40,MATCH(B16,'참가자DB'!$B$4:$B$40,0)),"")</f>
        <v/>
      </c>
      <c r="F16" s="39" t="str">
        <f t="array" ref="F16">IFERROR(INDEX('참가자DB'!$D$4:$D$40,MATCH(B16,'참가자DB'!$B$4:$B$40,0)),"")</f>
        <v/>
      </c>
      <c r="G16" s="39" t="str">
        <f t="array" ref="G16">IFERROR(INDEX('참가자DB'!$E$4:$E$40,MATCH(B16,'참가자DB'!$B$4:$B$40,0)),"")</f>
        <v/>
      </c>
      <c r="H16" s="39" t="str">
        <f t="array" ref="H16">IFERROR(INDEX('참가자DB'!$F$4:$F$40,MATCH(B16,'참가자DB'!$B$4:$B$40,0)),"")</f>
        <v/>
      </c>
      <c r="I16" s="39" t="str">
        <f t="array" ref="I16">IFERROR(INDEX('참가자DB'!$G$4:$G$40,MATCH(B16,'참가자DB'!$B$4:$B$40,0)),"")</f>
        <v/>
      </c>
      <c r="J16" s="4"/>
      <c r="K16" s="42" t="str">
        <f t="shared" si="2"/>
        <v/>
      </c>
    </row>
    <row r="17" ht="15.0" customHeight="1">
      <c r="A17" s="9" t="str">
        <f t="shared" si="1"/>
        <v/>
      </c>
      <c r="B17" s="10"/>
      <c r="C17" s="38" t="str">
        <f t="array" ref="C17">IFERROR(INDEX('참가자DB'!$C$4:$C$40,MATCH(B17,'참가자DB'!$B$4:$B$40,0)),"")</f>
        <v/>
      </c>
      <c r="D17" s="13" t="s">
        <v>49</v>
      </c>
      <c r="E17" s="41" t="str">
        <f t="array" ref="E17">IFERROR(INDEX('참가자DB'!$H$4:$H$40,MATCH(B17,'참가자DB'!$B$4:$B$40,0)),"")</f>
        <v/>
      </c>
      <c r="F17" s="39" t="str">
        <f t="array" ref="F17">IFERROR(INDEX('참가자DB'!$D$4:$D$40,MATCH(B17,'참가자DB'!$B$4:$B$40,0)),"")</f>
        <v/>
      </c>
      <c r="G17" s="39" t="str">
        <f t="array" ref="G17">IFERROR(INDEX('참가자DB'!$E$4:$E$40,MATCH(B17,'참가자DB'!$B$4:$B$40,0)),"")</f>
        <v/>
      </c>
      <c r="H17" s="39" t="str">
        <f t="array" ref="H17">IFERROR(INDEX('참가자DB'!$F$4:$F$40,MATCH(B17,'참가자DB'!$B$4:$B$40,0)),"")</f>
        <v/>
      </c>
      <c r="I17" s="39" t="str">
        <f t="array" ref="I17">IFERROR(INDEX('참가자DB'!$G$4:$G$40,MATCH(B17,'참가자DB'!$B$4:$B$40,0)),"")</f>
        <v/>
      </c>
      <c r="J17" s="4"/>
      <c r="K17" s="42" t="str">
        <f t="shared" si="2"/>
        <v/>
      </c>
    </row>
    <row r="18" ht="15.0" customHeight="1">
      <c r="A18" s="9" t="str">
        <f t="shared" si="1"/>
        <v/>
      </c>
      <c r="B18" s="10"/>
      <c r="C18" s="38" t="str">
        <f t="array" ref="C18">IFERROR(INDEX('참가자DB'!$C$4:$C$40,MATCH(B18,'참가자DB'!$B$4:$B$40,0)),"")</f>
        <v/>
      </c>
      <c r="D18" s="13" t="s">
        <v>49</v>
      </c>
      <c r="E18" s="41" t="str">
        <f t="array" ref="E18">IFERROR(INDEX('참가자DB'!$H$4:$H$40,MATCH(B18,'참가자DB'!$B$4:$B$40,0)),"")</f>
        <v/>
      </c>
      <c r="F18" s="39" t="str">
        <f t="array" ref="F18">IFERROR(INDEX('참가자DB'!$D$4:$D$40,MATCH(B18,'참가자DB'!$B$4:$B$40,0)),"")</f>
        <v/>
      </c>
      <c r="G18" s="39" t="str">
        <f t="array" ref="G18">IFERROR(INDEX('참가자DB'!$E$4:$E$40,MATCH(B18,'참가자DB'!$B$4:$B$40,0)),"")</f>
        <v/>
      </c>
      <c r="H18" s="39" t="str">
        <f t="array" ref="H18">IFERROR(INDEX('참가자DB'!$F$4:$F$40,MATCH(B18,'참가자DB'!$B$4:$B$40,0)),"")</f>
        <v/>
      </c>
      <c r="I18" s="39" t="str">
        <f t="array" ref="I18">IFERROR(INDEX('참가자DB'!$G$4:$G$40,MATCH(B18,'참가자DB'!$B$4:$B$40,0)),"")</f>
        <v/>
      </c>
      <c r="J18" s="4"/>
      <c r="K18" s="42" t="str">
        <f t="shared" si="2"/>
        <v/>
      </c>
    </row>
    <row r="19" ht="15.0" customHeight="1">
      <c r="A19" s="9" t="str">
        <f t="shared" si="1"/>
        <v/>
      </c>
      <c r="B19" s="10"/>
      <c r="C19" s="38" t="str">
        <f t="array" ref="C19">IFERROR(INDEX('참가자DB'!$C$4:$C$40,MATCH(B19,'참가자DB'!$B$4:$B$40,0)),"")</f>
        <v/>
      </c>
      <c r="D19" s="13" t="s">
        <v>49</v>
      </c>
      <c r="E19" s="41" t="str">
        <f t="array" ref="E19">IFERROR(INDEX('참가자DB'!$H$4:$H$40,MATCH(B19,'참가자DB'!$B$4:$B$40,0)),"")</f>
        <v/>
      </c>
      <c r="F19" s="39" t="str">
        <f t="array" ref="F19">IFERROR(INDEX('참가자DB'!$D$4:$D$40,MATCH(B19,'참가자DB'!$B$4:$B$40,0)),"")</f>
        <v/>
      </c>
      <c r="G19" s="39" t="str">
        <f t="array" ref="G19">IFERROR(INDEX('참가자DB'!$E$4:$E$40,MATCH(B19,'참가자DB'!$B$4:$B$40,0)),"")</f>
        <v/>
      </c>
      <c r="H19" s="39" t="str">
        <f t="array" ref="H19">IFERROR(INDEX('참가자DB'!$F$4:$F$40,MATCH(B19,'참가자DB'!$B$4:$B$40,0)),"")</f>
        <v/>
      </c>
      <c r="I19" s="39" t="str">
        <f t="array" ref="I19">IFERROR(INDEX('참가자DB'!$G$4:$G$40,MATCH(B19,'참가자DB'!$B$4:$B$40,0)),"")</f>
        <v/>
      </c>
      <c r="J19" s="4"/>
      <c r="K19" s="42" t="str">
        <f t="shared" si="2"/>
        <v/>
      </c>
    </row>
    <row r="20" ht="15.0" customHeight="1">
      <c r="A20" s="9" t="str">
        <f t="shared" si="1"/>
        <v/>
      </c>
      <c r="B20" s="10"/>
      <c r="C20" s="38" t="str">
        <f t="array" ref="C20">IFERROR(INDEX('참가자DB'!$C$4:$C$40,MATCH(B20,'참가자DB'!$B$4:$B$40,0)),"")</f>
        <v/>
      </c>
      <c r="D20" s="13" t="s">
        <v>49</v>
      </c>
      <c r="E20" s="41" t="str">
        <f t="array" ref="E20">IFERROR(INDEX('참가자DB'!$H$4:$H$40,MATCH(B20,'참가자DB'!$B$4:$B$40,0)),"")</f>
        <v/>
      </c>
      <c r="F20" s="39" t="str">
        <f t="array" ref="F20">IFERROR(INDEX('참가자DB'!$D$4:$D$40,MATCH(B20,'참가자DB'!$B$4:$B$40,0)),"")</f>
        <v/>
      </c>
      <c r="G20" s="39" t="str">
        <f t="array" ref="G20">IFERROR(INDEX('참가자DB'!$E$4:$E$40,MATCH(B20,'참가자DB'!$B$4:$B$40,0)),"")</f>
        <v/>
      </c>
      <c r="H20" s="39" t="str">
        <f t="array" ref="H20">IFERROR(INDEX('참가자DB'!$F$4:$F$40,MATCH(B20,'참가자DB'!$B$4:$B$40,0)),"")</f>
        <v/>
      </c>
      <c r="I20" s="39" t="str">
        <f t="array" ref="I20">IFERROR(INDEX('참가자DB'!$G$4:$G$40,MATCH(B20,'참가자DB'!$B$4:$B$40,0)),"")</f>
        <v/>
      </c>
      <c r="J20" s="4"/>
      <c r="K20" s="42" t="str">
        <f t="shared" si="2"/>
        <v/>
      </c>
    </row>
    <row r="21" ht="15.0" customHeight="1">
      <c r="A21" s="9" t="str">
        <f t="shared" si="1"/>
        <v/>
      </c>
      <c r="B21" s="10"/>
      <c r="C21" s="38" t="str">
        <f t="array" ref="C21">IFERROR(INDEX('참가자DB'!$C$4:$C$40,MATCH(B21,'참가자DB'!$B$4:$B$40,0)),"")</f>
        <v/>
      </c>
      <c r="D21" s="13" t="s">
        <v>49</v>
      </c>
      <c r="E21" s="41" t="str">
        <f t="array" ref="E21">IFERROR(INDEX('참가자DB'!$H$4:$H$40,MATCH(B21,'참가자DB'!$B$4:$B$40,0)),"")</f>
        <v/>
      </c>
      <c r="F21" s="39" t="str">
        <f t="array" ref="F21">IFERROR(INDEX('참가자DB'!$D$4:$D$40,MATCH(B21,'참가자DB'!$B$4:$B$40,0)),"")</f>
        <v/>
      </c>
      <c r="G21" s="39" t="str">
        <f t="array" ref="G21">IFERROR(INDEX('참가자DB'!$E$4:$E$40,MATCH(B21,'참가자DB'!$B$4:$B$40,0)),"")</f>
        <v/>
      </c>
      <c r="H21" s="39" t="str">
        <f t="array" ref="H21">IFERROR(INDEX('참가자DB'!$F$4:$F$40,MATCH(B21,'참가자DB'!$B$4:$B$40,0)),"")</f>
        <v/>
      </c>
      <c r="I21" s="39" t="str">
        <f t="array" ref="I21">IFERROR(INDEX('참가자DB'!$G$4:$G$40,MATCH(B21,'참가자DB'!$B$4:$B$40,0)),"")</f>
        <v/>
      </c>
      <c r="J21" s="4"/>
      <c r="K21" s="42" t="str">
        <f t="shared" si="2"/>
        <v/>
      </c>
    </row>
    <row r="22" ht="29.25" customHeight="1">
      <c r="A22" s="9" t="str">
        <f t="shared" si="1"/>
        <v/>
      </c>
      <c r="B22" s="10"/>
      <c r="C22" s="38" t="str">
        <f t="array" ref="C22">IFERROR(INDEX('참가자DB'!$C$4:$C$40,MATCH(B22,'참가자DB'!$B$4:$B$40,0)),"")</f>
        <v/>
      </c>
      <c r="D22" s="13" t="s">
        <v>49</v>
      </c>
      <c r="E22" s="41" t="str">
        <f t="array" ref="E22">IFERROR(INDEX('참가자DB'!$H$4:$H$40,MATCH(B22,'참가자DB'!$B$4:$B$40,0)),"")</f>
        <v/>
      </c>
      <c r="F22" s="39" t="str">
        <f t="array" ref="F22">IFERROR(INDEX('참가자DB'!$D$4:$D$40,MATCH(B22,'참가자DB'!$B$4:$B$40,0)),"")</f>
        <v/>
      </c>
      <c r="G22" s="39" t="str">
        <f t="array" ref="G22">IFERROR(INDEX('참가자DB'!$E$4:$E$40,MATCH(B22,'참가자DB'!$B$4:$B$40,0)),"")</f>
        <v/>
      </c>
      <c r="H22" s="39" t="str">
        <f t="array" ref="H22">IFERROR(INDEX('참가자DB'!$F$4:$F$40,MATCH(B22,'참가자DB'!$B$4:$B$40,0)),"")</f>
        <v/>
      </c>
      <c r="I22" s="39" t="str">
        <f t="array" ref="I22">IFERROR(INDEX('참가자DB'!$G$4:$G$40,MATCH(B22,'참가자DB'!$B$4:$B$40,0)),"")</f>
        <v/>
      </c>
      <c r="J22" s="4"/>
      <c r="K22" s="42" t="str">
        <f t="shared" si="2"/>
        <v/>
      </c>
    </row>
    <row r="23" ht="15.0" customHeight="1">
      <c r="A23" s="9" t="str">
        <f t="shared" si="1"/>
        <v/>
      </c>
      <c r="B23" s="10"/>
      <c r="C23" s="38" t="str">
        <f t="array" ref="C23">IFERROR(INDEX('참가자DB'!$C$4:$C$40,MATCH(B23,'참가자DB'!$B$4:$B$40,0)),"")</f>
        <v/>
      </c>
      <c r="D23" s="13"/>
      <c r="E23" s="41" t="str">
        <f t="array" ref="E23">IFERROR(INDEX('참가자DB'!$H$4:$H$40,MATCH(B23,'참가자DB'!$B$4:$B$40,0)),"")</f>
        <v/>
      </c>
      <c r="F23" s="39" t="str">
        <f t="array" ref="F23">IFERROR(INDEX('참가자DB'!$D$4:$D$40,MATCH(B23,'참가자DB'!$B$4:$B$40,0)),"")</f>
        <v/>
      </c>
      <c r="G23" s="39" t="str">
        <f t="array" ref="G23">IFERROR(INDEX('참가자DB'!$E$4:$E$40,MATCH(B23,'참가자DB'!$B$4:$B$40,0)),"")</f>
        <v/>
      </c>
      <c r="H23" s="39" t="str">
        <f t="array" ref="H23">IFERROR(INDEX('참가자DB'!$F$4:$F$40,MATCH(B23,'참가자DB'!$B$4:$B$40,0)),"")</f>
        <v/>
      </c>
      <c r="I23" s="39" t="str">
        <f t="array" ref="I23">IFERROR(INDEX('참가자DB'!$G$4:$G$40,MATCH(B23,'참가자DB'!$B$4:$B$40,0)),"")</f>
        <v/>
      </c>
      <c r="J23" s="4"/>
      <c r="K23" s="42" t="str">
        <f t="shared" si="2"/>
        <v/>
      </c>
    </row>
    <row r="24" ht="15.0" customHeight="1">
      <c r="A24" s="9" t="str">
        <f t="shared" si="1"/>
        <v/>
      </c>
      <c r="B24" s="10"/>
      <c r="C24" s="38" t="str">
        <f t="array" ref="C24">IFERROR(INDEX('참가자DB'!$C$4:$C$40,MATCH(B24,'참가자DB'!$B$4:$B$40,0)),"")</f>
        <v/>
      </c>
      <c r="D24" s="13"/>
      <c r="E24" s="41" t="str">
        <f t="array" ref="E24">IFERROR(INDEX('참가자DB'!$H$4:$H$40,MATCH(B24,'참가자DB'!$B$4:$B$40,0)),"")</f>
        <v/>
      </c>
      <c r="F24" s="39" t="str">
        <f t="array" ref="F24">IFERROR(INDEX('참가자DB'!$D$4:$D$40,MATCH(B24,'참가자DB'!$B$4:$B$40,0)),"")</f>
        <v/>
      </c>
      <c r="G24" s="39" t="str">
        <f t="array" ref="G24">IFERROR(INDEX('참가자DB'!$E$4:$E$40,MATCH(B24,'참가자DB'!$B$4:$B$40,0)),"")</f>
        <v/>
      </c>
      <c r="H24" s="39" t="str">
        <f t="array" ref="H24">IFERROR(INDEX('참가자DB'!$F$4:$F$40,MATCH(B24,'참가자DB'!$B$4:$B$40,0)),"")</f>
        <v/>
      </c>
      <c r="I24" s="39" t="str">
        <f t="array" ref="I24">IFERROR(INDEX('참가자DB'!$G$4:$G$40,MATCH(B24,'참가자DB'!$B$4:$B$40,0)),"")</f>
        <v/>
      </c>
      <c r="J24" s="4"/>
      <c r="K24" s="42" t="str">
        <f t="shared" si="2"/>
        <v/>
      </c>
    </row>
    <row r="25" ht="15.0" customHeight="1">
      <c r="A25" s="9" t="str">
        <f t="shared" si="1"/>
        <v/>
      </c>
      <c r="B25" s="10"/>
      <c r="C25" s="38" t="str">
        <f t="array" ref="C25">IFERROR(INDEX('참가자DB'!$C$4:$C$40,MATCH(B25,'참가자DB'!$B$4:$B$40,0)),"")</f>
        <v/>
      </c>
      <c r="D25" s="13"/>
      <c r="E25" s="41" t="str">
        <f t="array" ref="E25">IFERROR(INDEX('참가자DB'!$H$4:$H$40,MATCH(B25,'참가자DB'!$B$4:$B$40,0)),"")</f>
        <v/>
      </c>
      <c r="F25" s="39" t="str">
        <f t="array" ref="F25">IFERROR(INDEX('참가자DB'!$D$4:$D$40,MATCH(B25,'참가자DB'!$B$4:$B$40,0)),"")</f>
        <v/>
      </c>
      <c r="G25" s="39" t="str">
        <f t="array" ref="G25">IFERROR(INDEX('참가자DB'!$E$4:$E$40,MATCH(B25,'참가자DB'!$B$4:$B$40,0)),"")</f>
        <v/>
      </c>
      <c r="H25" s="39" t="str">
        <f t="array" ref="H25">IFERROR(INDEX('참가자DB'!$F$4:$F$40,MATCH(B25,'참가자DB'!$B$4:$B$40,0)),"")</f>
        <v/>
      </c>
      <c r="I25" s="39" t="str">
        <f t="array" ref="I25">IFERROR(INDEX('참가자DB'!$G$4:$G$40,MATCH(B25,'참가자DB'!$B$4:$B$40,0)),"")</f>
        <v/>
      </c>
      <c r="J25" s="4"/>
      <c r="K25" s="42" t="str">
        <f t="shared" si="2"/>
        <v/>
      </c>
    </row>
    <row r="26" ht="15.0" customHeight="1">
      <c r="A26" s="9" t="str">
        <f t="shared" si="1"/>
        <v/>
      </c>
      <c r="B26" s="10"/>
      <c r="C26" s="38" t="str">
        <f t="array" ref="C26">IFERROR(INDEX('참가자DB'!$C$4:$C$40,MATCH(B26,'참가자DB'!$B$4:$B$40,0)),"")</f>
        <v/>
      </c>
      <c r="D26" s="13"/>
      <c r="E26" s="41" t="str">
        <f t="array" ref="E26">IFERROR(INDEX('참가자DB'!$H$4:$H$40,MATCH(B26,'참가자DB'!$B$4:$B$40,0)),"")</f>
        <v/>
      </c>
      <c r="F26" s="39" t="str">
        <f t="array" ref="F26">IFERROR(INDEX('참가자DB'!$D$4:$D$40,MATCH(B26,'참가자DB'!$B$4:$B$40,0)),"")</f>
        <v/>
      </c>
      <c r="G26" s="39" t="str">
        <f t="array" ref="G26">IFERROR(INDEX('참가자DB'!$E$4:$E$40,MATCH(B26,'참가자DB'!$B$4:$B$40,0)),"")</f>
        <v/>
      </c>
      <c r="H26" s="39" t="str">
        <f t="array" ref="H26">IFERROR(INDEX('참가자DB'!$F$4:$F$40,MATCH(B26,'참가자DB'!$B$4:$B$40,0)),"")</f>
        <v/>
      </c>
      <c r="I26" s="39" t="str">
        <f t="array" ref="I26">IFERROR(INDEX('참가자DB'!$G$4:$G$40,MATCH(B26,'참가자DB'!$B$4:$B$40,0)),"")</f>
        <v/>
      </c>
      <c r="J26" s="4"/>
      <c r="K26" s="42" t="str">
        <f t="shared" si="2"/>
        <v/>
      </c>
    </row>
    <row r="27" ht="15.0" customHeight="1">
      <c r="A27" s="9" t="str">
        <f t="shared" si="1"/>
        <v/>
      </c>
      <c r="B27" s="10"/>
      <c r="C27" s="38" t="str">
        <f t="array" ref="C27">IFERROR(INDEX('참가자DB'!$C$4:$C$40,MATCH(B27,'참가자DB'!$B$4:$B$40,0)),"")</f>
        <v/>
      </c>
      <c r="D27" s="13"/>
      <c r="E27" s="41" t="str">
        <f t="array" ref="E27">IFERROR(INDEX('참가자DB'!$H$4:$H$40,MATCH(B27,'참가자DB'!$B$4:$B$40,0)),"")</f>
        <v/>
      </c>
      <c r="F27" s="39" t="str">
        <f t="array" ref="F27">IFERROR(INDEX('참가자DB'!$D$4:$D$40,MATCH(B27,'참가자DB'!$B$4:$B$40,0)),"")</f>
        <v/>
      </c>
      <c r="G27" s="39" t="str">
        <f t="array" ref="G27">IFERROR(INDEX('참가자DB'!$E$4:$E$40,MATCH(B27,'참가자DB'!$B$4:$B$40,0)),"")</f>
        <v/>
      </c>
      <c r="H27" s="39" t="str">
        <f t="array" ref="H27">IFERROR(INDEX('참가자DB'!$F$4:$F$40,MATCH(B27,'참가자DB'!$B$4:$B$40,0)),"")</f>
        <v/>
      </c>
      <c r="I27" s="39" t="str">
        <f t="array" ref="I27">IFERROR(INDEX('참가자DB'!$G$4:$G$40,MATCH(B27,'참가자DB'!$B$4:$B$40,0)),"")</f>
        <v/>
      </c>
      <c r="J27" s="4"/>
      <c r="K27" s="42" t="str">
        <f t="shared" si="2"/>
        <v/>
      </c>
    </row>
    <row r="28" ht="15.0" customHeight="1">
      <c r="A28" s="9" t="str">
        <f t="shared" si="1"/>
        <v/>
      </c>
      <c r="B28" s="10"/>
      <c r="C28" s="38" t="str">
        <f t="array" ref="C28">IFERROR(INDEX('참가자DB'!$C$4:$C$40,MATCH(B28,'참가자DB'!$B$4:$B$40,0)),"")</f>
        <v/>
      </c>
      <c r="D28" s="13"/>
      <c r="E28" s="41" t="str">
        <f t="array" ref="E28">IFERROR(INDEX('참가자DB'!$H$4:$H$40,MATCH(B28,'참가자DB'!$B$4:$B$40,0)),"")</f>
        <v/>
      </c>
      <c r="F28" s="39" t="str">
        <f t="array" ref="F28">IFERROR(INDEX('참가자DB'!$D$4:$D$40,MATCH(B28,'참가자DB'!$B$4:$B$40,0)),"")</f>
        <v/>
      </c>
      <c r="G28" s="39" t="str">
        <f t="array" ref="G28">IFERROR(INDEX('참가자DB'!$E$4:$E$40,MATCH(B28,'참가자DB'!$B$4:$B$40,0)),"")</f>
        <v/>
      </c>
      <c r="H28" s="39" t="str">
        <f t="array" ref="H28">IFERROR(INDEX('참가자DB'!$F$4:$F$40,MATCH(B28,'참가자DB'!$B$4:$B$40,0)),"")</f>
        <v/>
      </c>
      <c r="I28" s="39" t="str">
        <f t="array" ref="I28">IFERROR(INDEX('참가자DB'!$G$4:$G$40,MATCH(B28,'참가자DB'!$B$4:$B$40,0)),"")</f>
        <v/>
      </c>
      <c r="J28" s="4"/>
      <c r="K28" s="42" t="str">
        <f t="shared" si="2"/>
        <v/>
      </c>
    </row>
    <row r="29" ht="15.0" customHeight="1">
      <c r="A29" s="9" t="str">
        <f t="shared" si="1"/>
        <v/>
      </c>
      <c r="B29" s="10"/>
      <c r="C29" s="38" t="str">
        <f t="array" ref="C29">IFERROR(INDEX('참가자DB'!$C$4:$C$40,MATCH(B29,'참가자DB'!$B$4:$B$40,0)),"")</f>
        <v/>
      </c>
      <c r="D29" s="13"/>
      <c r="E29" s="41" t="str">
        <f t="array" ref="E29">IFERROR(INDEX('참가자DB'!$H$4:$H$40,MATCH(B29,'참가자DB'!$B$4:$B$40,0)),"")</f>
        <v/>
      </c>
      <c r="F29" s="39" t="str">
        <f t="array" ref="F29">IFERROR(INDEX('참가자DB'!$D$4:$D$40,MATCH(B29,'참가자DB'!$B$4:$B$40,0)),"")</f>
        <v/>
      </c>
      <c r="G29" s="39" t="str">
        <f t="array" ref="G29">IFERROR(INDEX('참가자DB'!$E$4:$E$40,MATCH(B29,'참가자DB'!$B$4:$B$40,0)),"")</f>
        <v/>
      </c>
      <c r="H29" s="39" t="str">
        <f t="array" ref="H29">IFERROR(INDEX('참가자DB'!$F$4:$F$40,MATCH(B29,'참가자DB'!$B$4:$B$40,0)),"")</f>
        <v/>
      </c>
      <c r="I29" s="39" t="str">
        <f t="array" ref="I29">IFERROR(INDEX('참가자DB'!$G$4:$G$40,MATCH(B29,'참가자DB'!$B$4:$B$40,0)),"")</f>
        <v/>
      </c>
      <c r="J29" s="4"/>
      <c r="K29" s="42" t="str">
        <f t="shared" si="2"/>
        <v/>
      </c>
    </row>
    <row r="30" ht="15.0" customHeight="1">
      <c r="A30" s="9" t="str">
        <f t="shared" si="1"/>
        <v/>
      </c>
      <c r="B30" s="10"/>
      <c r="C30" s="38" t="str">
        <f t="array" ref="C30">IFERROR(INDEX('참가자DB'!$C$4:$C$40,MATCH(B30,'참가자DB'!$B$4:$B$40,0)),"")</f>
        <v/>
      </c>
      <c r="D30" s="13"/>
      <c r="E30" s="41" t="str">
        <f t="array" ref="E30">IFERROR(INDEX('참가자DB'!$H$4:$H$40,MATCH(B30,'참가자DB'!$B$4:$B$40,0)),"")</f>
        <v/>
      </c>
      <c r="F30" s="39" t="str">
        <f t="array" ref="F30">IFERROR(INDEX('참가자DB'!$D$4:$D$40,MATCH(B30,'참가자DB'!$B$4:$B$40,0)),"")</f>
        <v/>
      </c>
      <c r="G30" s="39" t="str">
        <f t="array" ref="G30">IFERROR(INDEX('참가자DB'!$E$4:$E$40,MATCH(B30,'참가자DB'!$B$4:$B$40,0)),"")</f>
        <v/>
      </c>
      <c r="H30" s="39" t="str">
        <f t="array" ref="H30">IFERROR(INDEX('참가자DB'!$F$4:$F$40,MATCH(B30,'참가자DB'!$B$4:$B$40,0)),"")</f>
        <v/>
      </c>
      <c r="I30" s="39" t="str">
        <f t="array" ref="I30">IFERROR(INDEX('참가자DB'!$G$4:$G$40,MATCH(B30,'참가자DB'!$B$4:$B$40,0)),"")</f>
        <v/>
      </c>
      <c r="J30" s="4"/>
      <c r="K30" s="42" t="str">
        <f t="shared" si="2"/>
        <v/>
      </c>
    </row>
    <row r="31" ht="15.0" customHeight="1">
      <c r="A31" s="9" t="str">
        <f t="shared" si="1"/>
        <v/>
      </c>
      <c r="B31" s="10"/>
      <c r="C31" s="38" t="str">
        <f t="array" ref="C31">IFERROR(INDEX('참가자DB'!$C$4:$C$40,MATCH(B31,'참가자DB'!$B$4:$B$40,0)),"")</f>
        <v/>
      </c>
      <c r="D31" s="13"/>
      <c r="E31" s="41" t="str">
        <f t="array" ref="E31">IFERROR(INDEX('참가자DB'!$H$4:$H$40,MATCH(B31,'참가자DB'!$B$4:$B$40,0)),"")</f>
        <v/>
      </c>
      <c r="F31" s="39" t="str">
        <f t="array" ref="F31">IFERROR(INDEX('참가자DB'!$D$4:$D$40,MATCH(B31,'참가자DB'!$B$4:$B$40,0)),"")</f>
        <v/>
      </c>
      <c r="G31" s="39" t="str">
        <f t="array" ref="G31">IFERROR(INDEX('참가자DB'!$E$4:$E$40,MATCH(B31,'참가자DB'!$B$4:$B$40,0)),"")</f>
        <v/>
      </c>
      <c r="H31" s="39" t="str">
        <f t="array" ref="H31">IFERROR(INDEX('참가자DB'!$F$4:$F$40,MATCH(B31,'참가자DB'!$B$4:$B$40,0)),"")</f>
        <v/>
      </c>
      <c r="I31" s="39" t="str">
        <f t="array" ref="I31">IFERROR(INDEX('참가자DB'!$G$4:$G$40,MATCH(B31,'참가자DB'!$B$4:$B$40,0)),"")</f>
        <v/>
      </c>
      <c r="J31" s="4"/>
      <c r="K31" s="42" t="str">
        <f t="shared" si="2"/>
        <v/>
      </c>
    </row>
    <row r="32" ht="15.0" customHeight="1">
      <c r="A32" s="9" t="str">
        <f t="shared" si="1"/>
        <v/>
      </c>
      <c r="B32" s="10"/>
      <c r="C32" s="38" t="str">
        <f t="array" ref="C32">IFERROR(INDEX('참가자DB'!$C$4:$C$40,MATCH(B32,'참가자DB'!$B$4:$B$40,0)),"")</f>
        <v/>
      </c>
      <c r="D32" s="13"/>
      <c r="E32" s="41" t="str">
        <f t="array" ref="E32">IFERROR(INDEX('참가자DB'!$H$4:$H$40,MATCH(B32,'참가자DB'!$B$4:$B$40,0)),"")</f>
        <v/>
      </c>
      <c r="F32" s="39" t="str">
        <f t="array" ref="F32">IFERROR(INDEX('참가자DB'!$D$4:$D$40,MATCH(B32,'참가자DB'!$B$4:$B$40,0)),"")</f>
        <v/>
      </c>
      <c r="G32" s="39" t="str">
        <f t="array" ref="G32">IFERROR(INDEX('참가자DB'!$E$4:$E$40,MATCH(B32,'참가자DB'!$B$4:$B$40,0)),"")</f>
        <v/>
      </c>
      <c r="H32" s="39" t="str">
        <f t="array" ref="H32">IFERROR(INDEX('참가자DB'!$F$4:$F$40,MATCH(B32,'참가자DB'!$B$4:$B$40,0)),"")</f>
        <v/>
      </c>
      <c r="I32" s="39" t="str">
        <f t="array" ref="I32">IFERROR(INDEX('참가자DB'!$G$4:$G$40,MATCH(B32,'참가자DB'!$B$4:$B$40,0)),"")</f>
        <v/>
      </c>
      <c r="J32" s="4"/>
      <c r="K32" s="42" t="str">
        <f t="shared" si="2"/>
        <v/>
      </c>
    </row>
    <row r="33" ht="15.0" customHeight="1">
      <c r="A33" s="9" t="str">
        <f t="shared" si="1"/>
        <v/>
      </c>
      <c r="B33" s="10"/>
      <c r="C33" s="38" t="str">
        <f t="array" ref="C33">IFERROR(INDEX('참가자DB'!$C$4:$C$40,MATCH(B33,'참가자DB'!$B$4:$B$40,0)),"")</f>
        <v/>
      </c>
      <c r="D33" s="13"/>
      <c r="E33" s="41" t="str">
        <f t="array" ref="E33">IFERROR(INDEX('참가자DB'!$H$4:$H$40,MATCH(B33,'참가자DB'!$B$4:$B$40,0)),"")</f>
        <v/>
      </c>
      <c r="F33" s="39" t="str">
        <f t="array" ref="F33">IFERROR(INDEX('참가자DB'!$D$4:$D$40,MATCH(B33,'참가자DB'!$B$4:$B$40,0)),"")</f>
        <v/>
      </c>
      <c r="G33" s="39" t="str">
        <f t="array" ref="G33">IFERROR(INDEX('참가자DB'!$E$4:$E$40,MATCH(B33,'참가자DB'!$B$4:$B$40,0)),"")</f>
        <v/>
      </c>
      <c r="H33" s="39" t="str">
        <f t="array" ref="H33">IFERROR(INDEX('참가자DB'!$F$4:$F$40,MATCH(B33,'참가자DB'!$B$4:$B$40,0)),"")</f>
        <v/>
      </c>
      <c r="I33" s="39" t="str">
        <f t="array" ref="I33">IFERROR(INDEX('참가자DB'!$G$4:$G$40,MATCH(B33,'참가자DB'!$B$4:$B$40,0)),"")</f>
        <v/>
      </c>
      <c r="J33" s="4"/>
      <c r="K33" s="42" t="str">
        <f t="shared" si="2"/>
        <v/>
      </c>
    </row>
    <row r="34" ht="15.0" customHeight="1">
      <c r="A34" s="9" t="str">
        <f t="shared" si="1"/>
        <v/>
      </c>
      <c r="B34" s="10"/>
      <c r="C34" s="38" t="str">
        <f t="array" ref="C34">IFERROR(INDEX('참가자DB'!$C$4:$C$40,MATCH(B34,'참가자DB'!$B$4:$B$40,0)),"")</f>
        <v/>
      </c>
      <c r="D34" s="13"/>
      <c r="E34" s="41" t="str">
        <f t="array" ref="E34">IFERROR(INDEX('참가자DB'!$H$4:$H$40,MATCH(B34,'참가자DB'!$B$4:$B$40,0)),"")</f>
        <v/>
      </c>
      <c r="F34" s="39" t="str">
        <f t="array" ref="F34">IFERROR(INDEX('참가자DB'!$D$4:$D$40,MATCH(B34,'참가자DB'!$B$4:$B$40,0)),"")</f>
        <v/>
      </c>
      <c r="G34" s="39" t="str">
        <f t="array" ref="G34">IFERROR(INDEX('참가자DB'!$E$4:$E$40,MATCH(B34,'참가자DB'!$B$4:$B$40,0)),"")</f>
        <v/>
      </c>
      <c r="H34" s="39" t="str">
        <f t="array" ref="H34">IFERROR(INDEX('참가자DB'!$F$4:$F$40,MATCH(B34,'참가자DB'!$B$4:$B$40,0)),"")</f>
        <v/>
      </c>
      <c r="I34" s="39" t="str">
        <f t="array" ref="I34">IFERROR(INDEX('참가자DB'!$G$4:$G$40,MATCH(B34,'참가자DB'!$B$4:$B$40,0)),"")</f>
        <v/>
      </c>
      <c r="J34" s="4"/>
      <c r="K34" s="42" t="str">
        <f t="shared" si="2"/>
        <v/>
      </c>
    </row>
    <row r="35" ht="15.0" customHeight="1">
      <c r="A35" s="9" t="str">
        <f t="shared" si="1"/>
        <v/>
      </c>
      <c r="B35" s="10"/>
      <c r="C35" s="38" t="str">
        <f t="array" ref="C35">IFERROR(INDEX('참가자DB'!$C$4:$C$40,MATCH(B35,'참가자DB'!$B$4:$B$40,0)),"")</f>
        <v/>
      </c>
      <c r="D35" s="13"/>
      <c r="E35" s="41" t="str">
        <f t="array" ref="E35">IFERROR(INDEX('참가자DB'!$H$4:$H$40,MATCH(B35,'참가자DB'!$B$4:$B$40,0)),"")</f>
        <v/>
      </c>
      <c r="F35" s="39" t="str">
        <f t="array" ref="F35">IFERROR(INDEX('참가자DB'!$D$4:$D$40,MATCH(B35,'참가자DB'!$B$4:$B$40,0)),"")</f>
        <v/>
      </c>
      <c r="G35" s="39" t="str">
        <f t="array" ref="G35">IFERROR(INDEX('참가자DB'!$E$4:$E$40,MATCH(B35,'참가자DB'!$B$4:$B$40,0)),"")</f>
        <v/>
      </c>
      <c r="H35" s="39" t="str">
        <f t="array" ref="H35">IFERROR(INDEX('참가자DB'!$F$4:$F$40,MATCH(B35,'참가자DB'!$B$4:$B$40,0)),"")</f>
        <v/>
      </c>
      <c r="I35" s="39" t="str">
        <f t="array" ref="I35">IFERROR(INDEX('참가자DB'!$G$4:$G$40,MATCH(B35,'참가자DB'!$B$4:$B$40,0)),"")</f>
        <v/>
      </c>
      <c r="J35" s="4"/>
      <c r="K35" s="42" t="str">
        <f t="shared" si="2"/>
        <v/>
      </c>
    </row>
    <row r="36" ht="15.0" customHeight="1">
      <c r="A36" s="9" t="str">
        <f t="shared" si="1"/>
        <v/>
      </c>
      <c r="B36" s="10"/>
      <c r="C36" s="38" t="str">
        <f t="array" ref="C36">IFERROR(INDEX('참가자DB'!$C$4:$C$40,MATCH(B36,'참가자DB'!$B$4:$B$40,0)),"")</f>
        <v/>
      </c>
      <c r="D36" s="13"/>
      <c r="E36" s="41" t="str">
        <f t="array" ref="E36">IFERROR(INDEX('참가자DB'!$H$4:$H$40,MATCH(B36,'참가자DB'!$B$4:$B$40,0)),"")</f>
        <v/>
      </c>
      <c r="F36" s="39" t="str">
        <f t="array" ref="F36">IFERROR(INDEX('참가자DB'!$D$4:$D$40,MATCH(B36,'참가자DB'!$B$4:$B$40,0)),"")</f>
        <v/>
      </c>
      <c r="G36" s="39" t="str">
        <f t="array" ref="G36">IFERROR(INDEX('참가자DB'!$E$4:$E$40,MATCH(B36,'참가자DB'!$B$4:$B$40,0)),"")</f>
        <v/>
      </c>
      <c r="H36" s="39" t="str">
        <f t="array" ref="H36">IFERROR(INDEX('참가자DB'!$F$4:$F$40,MATCH(B36,'참가자DB'!$B$4:$B$40,0)),"")</f>
        <v/>
      </c>
      <c r="I36" s="39" t="str">
        <f t="array" ref="I36">IFERROR(INDEX('참가자DB'!$G$4:$G$40,MATCH(B36,'참가자DB'!$B$4:$B$40,0)),"")</f>
        <v/>
      </c>
      <c r="J36" s="4"/>
      <c r="K36" s="42" t="str">
        <f t="shared" si="2"/>
        <v/>
      </c>
    </row>
    <row r="37" ht="15.0" customHeight="1">
      <c r="A37" s="9" t="str">
        <f t="shared" si="1"/>
        <v/>
      </c>
      <c r="B37" s="10"/>
      <c r="C37" s="38" t="str">
        <f t="array" ref="C37">IFERROR(INDEX('참가자DB'!$C$4:$C$40,MATCH(B37,'참가자DB'!$B$4:$B$40,0)),"")</f>
        <v/>
      </c>
      <c r="D37" s="13"/>
      <c r="E37" s="41" t="str">
        <f t="array" ref="E37">IFERROR(INDEX('참가자DB'!$H$4:$H$40,MATCH(B37,'참가자DB'!$B$4:$B$40,0)),"")</f>
        <v/>
      </c>
      <c r="F37" s="39" t="str">
        <f t="array" ref="F37">IFERROR(INDEX('참가자DB'!$D$4:$D$40,MATCH(B37,'참가자DB'!$B$4:$B$40,0)),"")</f>
        <v/>
      </c>
      <c r="G37" s="39" t="str">
        <f t="array" ref="G37">IFERROR(INDEX('참가자DB'!$E$4:$E$40,MATCH(B37,'참가자DB'!$B$4:$B$40,0)),"")</f>
        <v/>
      </c>
      <c r="H37" s="39" t="str">
        <f t="array" ref="H37">IFERROR(INDEX('참가자DB'!$F$4:$F$40,MATCH(B37,'참가자DB'!$B$4:$B$40,0)),"")</f>
        <v/>
      </c>
      <c r="I37" s="39" t="str">
        <f t="array" ref="I37">IFERROR(INDEX('참가자DB'!$G$4:$G$40,MATCH(B37,'참가자DB'!$B$4:$B$40,0)),"")</f>
        <v/>
      </c>
      <c r="J37" s="4"/>
      <c r="K37" s="42" t="str">
        <f t="shared" si="2"/>
        <v/>
      </c>
    </row>
    <row r="38" ht="15.0" customHeight="1">
      <c r="A38" s="9" t="str">
        <f t="shared" si="1"/>
        <v/>
      </c>
      <c r="B38" s="10"/>
      <c r="C38" s="38" t="str">
        <f t="array" ref="C38">IFERROR(INDEX('참가자DB'!$C$4:$C$40,MATCH(B38,'참가자DB'!$B$4:$B$40,0)),"")</f>
        <v/>
      </c>
      <c r="D38" s="13"/>
      <c r="E38" s="41" t="str">
        <f t="array" ref="E38">IFERROR(INDEX('참가자DB'!$H$4:$H$40,MATCH(B38,'참가자DB'!$B$4:$B$40,0)),"")</f>
        <v/>
      </c>
      <c r="F38" s="39" t="str">
        <f t="array" ref="F38">IFERROR(INDEX('참가자DB'!$D$4:$D$40,MATCH(B38,'참가자DB'!$B$4:$B$40,0)),"")</f>
        <v/>
      </c>
      <c r="G38" s="39" t="str">
        <f t="array" ref="G38">IFERROR(INDEX('참가자DB'!$E$4:$E$40,MATCH(B38,'참가자DB'!$B$4:$B$40,0)),"")</f>
        <v/>
      </c>
      <c r="H38" s="39" t="str">
        <f t="array" ref="H38">IFERROR(INDEX('참가자DB'!$F$4:$F$40,MATCH(B38,'참가자DB'!$B$4:$B$40,0)),"")</f>
        <v/>
      </c>
      <c r="I38" s="39" t="str">
        <f t="array" ref="I38">IFERROR(INDEX('참가자DB'!$G$4:$G$40,MATCH(B38,'참가자DB'!$B$4:$B$40,0)),"")</f>
        <v/>
      </c>
      <c r="J38" s="4"/>
      <c r="K38" s="42" t="str">
        <f t="shared" si="2"/>
        <v/>
      </c>
    </row>
    <row r="39" ht="15.0" customHeight="1">
      <c r="A39" s="9" t="str">
        <f t="shared" si="1"/>
        <v/>
      </c>
      <c r="B39" s="10"/>
      <c r="C39" s="38" t="str">
        <f t="array" ref="C39">IFERROR(INDEX('참가자DB'!$C$4:$C$40,MATCH(B39,'참가자DB'!$B$4:$B$40,0)),"")</f>
        <v/>
      </c>
      <c r="D39" s="13"/>
      <c r="E39" s="41" t="str">
        <f t="array" ref="E39">IFERROR(INDEX('참가자DB'!$H$4:$H$40,MATCH(B39,'참가자DB'!$B$4:$B$40,0)),"")</f>
        <v/>
      </c>
      <c r="F39" s="39" t="str">
        <f t="array" ref="F39">IFERROR(INDEX('참가자DB'!$D$4:$D$40,MATCH(B39,'참가자DB'!$B$4:$B$40,0)),"")</f>
        <v/>
      </c>
      <c r="G39" s="39" t="str">
        <f t="array" ref="G39">IFERROR(INDEX('참가자DB'!$E$4:$E$40,MATCH(B39,'참가자DB'!$B$4:$B$40,0)),"")</f>
        <v/>
      </c>
      <c r="H39" s="39" t="str">
        <f t="array" ref="H39">IFERROR(INDEX('참가자DB'!$F$4:$F$40,MATCH(B39,'참가자DB'!$B$4:$B$40,0)),"")</f>
        <v/>
      </c>
      <c r="I39" s="39" t="str">
        <f t="array" ref="I39">IFERROR(INDEX('참가자DB'!$G$4:$G$40,MATCH(B39,'참가자DB'!$B$4:$B$40,0)),"")</f>
        <v/>
      </c>
      <c r="J39" s="4"/>
      <c r="K39" s="42" t="str">
        <f t="shared" si="2"/>
        <v/>
      </c>
    </row>
    <row r="40" ht="15.0" customHeight="1">
      <c r="A40" s="9" t="str">
        <f t="shared" si="1"/>
        <v/>
      </c>
      <c r="B40" s="10"/>
      <c r="C40" s="38" t="str">
        <f t="array" ref="C40">IFERROR(INDEX('참가자DB'!$C$4:$C$40,MATCH(B40,'참가자DB'!$B$4:$B$40,0)),"")</f>
        <v/>
      </c>
      <c r="D40" s="13"/>
      <c r="E40" s="41" t="str">
        <f t="array" ref="E40">IFERROR(INDEX('참가자DB'!$H$4:$H$40,MATCH(B40,'참가자DB'!$B$4:$B$40,0)),"")</f>
        <v/>
      </c>
      <c r="F40" s="39" t="str">
        <f t="array" ref="F40">IFERROR(INDEX('참가자DB'!$D$4:$D$40,MATCH(B40,'참가자DB'!$B$4:$B$40,0)),"")</f>
        <v/>
      </c>
      <c r="G40" s="39" t="str">
        <f t="array" ref="G40">IFERROR(INDEX('참가자DB'!$E$4:$E$40,MATCH(B40,'참가자DB'!$B$4:$B$40,0)),"")</f>
        <v/>
      </c>
      <c r="H40" s="39" t="str">
        <f t="array" ref="H40">IFERROR(INDEX('참가자DB'!$F$4:$F$40,MATCH(B40,'참가자DB'!$B$4:$B$40,0)),"")</f>
        <v/>
      </c>
      <c r="I40" s="39" t="str">
        <f t="array" ref="I40">IFERROR(INDEX('참가자DB'!$G$4:$G$40,MATCH(B40,'참가자DB'!$B$4:$B$40,0)),"")</f>
        <v/>
      </c>
      <c r="J40" s="4"/>
      <c r="K40" s="42" t="str">
        <f t="shared" si="2"/>
        <v/>
      </c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2">
    <mergeCell ref="A1:I1"/>
    <mergeCell ref="A2:I2"/>
  </mergeCells>
  <dataValidations>
    <dataValidation type="list" allowBlank="1" sqref="E4:E40">
      <formula1>'설정'!$A$4:$A$34</formula1>
    </dataValidation>
    <dataValidation type="list" allowBlank="1" sqref="B4:B40">
      <formula1>'참가자DB'!$B$4:$B$40</formula1>
    </dataValidation>
    <dataValidation type="list" allowBlank="1" sqref="D4:D40">
      <formula1>'설정'!$E$4:$E$5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94C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9.14"/>
    <col customWidth="1" min="3" max="3" width="9.0"/>
    <col customWidth="1" min="4" max="4" width="10.0"/>
    <col customWidth="1" min="5" max="5" width="9.0"/>
    <col customWidth="1" min="6" max="6" width="26.0"/>
    <col customWidth="1" min="7" max="7" width="6.0"/>
    <col customWidth="1" min="8" max="8" width="3.0"/>
    <col customWidth="1" min="9" max="9" width="8.71"/>
    <col customWidth="1" min="10" max="12" width="8.0"/>
    <col customWidth="1" min="13" max="26" width="8.71"/>
  </cols>
  <sheetData>
    <row r="1" ht="18.0" customHeight="1">
      <c r="A1" s="44"/>
      <c r="B1" s="45" t="s">
        <v>139</v>
      </c>
      <c r="C1" s="44"/>
      <c r="D1" s="46" t="s">
        <v>140</v>
      </c>
      <c r="E1" s="2"/>
      <c r="F1" s="3"/>
      <c r="G1" s="44"/>
      <c r="H1" s="44"/>
      <c r="J1" s="4"/>
      <c r="K1" s="4"/>
      <c r="L1" s="4"/>
    </row>
    <row r="2" ht="30.0" customHeight="1">
      <c r="A2" s="47" t="str">
        <f>"🏆 " &amp; D1 &amp; " 결과"</f>
        <v>🏆 내전 결과</v>
      </c>
      <c r="B2" s="2"/>
      <c r="C2" s="2"/>
      <c r="D2" s="2"/>
      <c r="E2" s="2"/>
      <c r="F2" s="2"/>
      <c r="G2" s="3"/>
      <c r="H2" s="44"/>
      <c r="J2" s="4"/>
      <c r="K2" s="4"/>
      <c r="L2" s="4"/>
    </row>
    <row r="3" ht="15.0" customHeight="1">
      <c r="A3" s="44"/>
      <c r="B3" s="44"/>
      <c r="C3" s="44"/>
      <c r="D3" s="44"/>
      <c r="E3" s="44"/>
      <c r="F3" s="44"/>
      <c r="G3" s="44"/>
      <c r="H3" s="44"/>
      <c r="J3" s="4"/>
      <c r="K3" s="4"/>
      <c r="L3" s="4"/>
    </row>
    <row r="4" ht="21.75" customHeight="1">
      <c r="A4" s="48" t="s">
        <v>141</v>
      </c>
      <c r="B4" s="2"/>
      <c r="C4" s="3"/>
      <c r="D4" s="49" t="s">
        <v>142</v>
      </c>
      <c r="E4" s="50" t="s">
        <v>143</v>
      </c>
      <c r="F4" s="2"/>
      <c r="G4" s="3"/>
      <c r="H4" s="44"/>
      <c r="J4" s="4"/>
      <c r="K4" s="4"/>
      <c r="L4" s="4"/>
    </row>
    <row r="5" ht="13.5" customHeight="1">
      <c r="A5" s="51" t="s">
        <v>144</v>
      </c>
      <c r="B5" s="2"/>
      <c r="C5" s="3"/>
      <c r="D5" s="44"/>
      <c r="E5" s="51" t="s">
        <v>144</v>
      </c>
      <c r="F5" s="2"/>
      <c r="G5" s="3"/>
      <c r="H5" s="44"/>
      <c r="J5" s="4"/>
      <c r="K5" s="4"/>
      <c r="L5" s="4"/>
    </row>
    <row r="6" ht="33.75" customHeight="1">
      <c r="A6" s="52">
        <f>'팀배정'!C12</f>
        <v>0</v>
      </c>
      <c r="B6" s="2"/>
      <c r="C6" s="3"/>
      <c r="D6" s="44"/>
      <c r="E6" s="53">
        <f>'팀배정'!G12</f>
        <v>0</v>
      </c>
      <c r="F6" s="2"/>
      <c r="G6" s="3"/>
      <c r="H6" s="44"/>
      <c r="J6" s="4"/>
      <c r="K6" s="4"/>
      <c r="L6" s="4"/>
    </row>
    <row r="7" ht="15.0" customHeight="1">
      <c r="A7" s="44"/>
      <c r="B7" s="44"/>
      <c r="C7" s="44"/>
      <c r="D7" s="44"/>
      <c r="E7" s="44"/>
      <c r="F7" s="44"/>
      <c r="G7" s="44"/>
      <c r="H7" s="44"/>
      <c r="J7" s="4"/>
      <c r="K7" s="4"/>
      <c r="L7" s="4"/>
    </row>
    <row r="8" ht="15.0" customHeight="1">
      <c r="A8" s="44"/>
      <c r="B8" s="44"/>
      <c r="C8" s="44"/>
      <c r="D8" s="44"/>
      <c r="E8" s="44"/>
      <c r="F8" s="44"/>
      <c r="G8" s="44"/>
      <c r="H8" s="44"/>
      <c r="J8" s="4"/>
      <c r="K8" s="4"/>
      <c r="L8" s="4"/>
    </row>
    <row r="9" ht="15.0" customHeight="1">
      <c r="A9" s="44"/>
      <c r="B9" s="44"/>
      <c r="C9" s="44"/>
      <c r="D9" s="44"/>
      <c r="E9" s="44"/>
      <c r="F9" s="44"/>
      <c r="G9" s="44"/>
      <c r="H9" s="44"/>
      <c r="J9" s="4"/>
      <c r="K9" s="4"/>
      <c r="L9" s="4"/>
    </row>
    <row r="10" ht="15.0" customHeight="1">
      <c r="A10" s="44"/>
      <c r="B10" s="44"/>
      <c r="C10" s="44"/>
      <c r="D10" s="44"/>
      <c r="E10" s="44"/>
      <c r="F10" s="44"/>
      <c r="G10" s="44"/>
      <c r="H10" s="44"/>
      <c r="J10" s="4"/>
      <c r="K10" s="4"/>
      <c r="L10" s="4"/>
    </row>
    <row r="11" ht="15.0" customHeight="1">
      <c r="A11" s="44"/>
      <c r="B11" s="44"/>
      <c r="C11" s="44"/>
      <c r="D11" s="44"/>
      <c r="E11" s="44"/>
      <c r="F11" s="44"/>
      <c r="G11" s="44"/>
      <c r="H11" s="44"/>
      <c r="J11" s="4"/>
      <c r="K11" s="4"/>
      <c r="L11" s="4"/>
    </row>
    <row r="12" ht="15.0" customHeight="1">
      <c r="A12" s="44"/>
      <c r="B12" s="44"/>
      <c r="C12" s="44"/>
      <c r="D12" s="44"/>
      <c r="E12" s="44"/>
      <c r="F12" s="44"/>
      <c r="G12" s="44"/>
      <c r="H12" s="44"/>
      <c r="J12" s="4"/>
      <c r="K12" s="4"/>
      <c r="L12" s="4"/>
    </row>
    <row r="13" ht="15.0" customHeight="1">
      <c r="A13" s="44"/>
      <c r="B13" s="44"/>
      <c r="C13" s="44"/>
      <c r="D13" s="44"/>
      <c r="E13" s="44"/>
      <c r="F13" s="44"/>
      <c r="G13" s="44"/>
      <c r="H13" s="44"/>
      <c r="J13" s="4"/>
      <c r="K13" s="4"/>
      <c r="L13" s="4"/>
    </row>
    <row r="14" ht="15.75" customHeight="1">
      <c r="A14" s="44"/>
      <c r="B14" s="54" t="s">
        <v>145</v>
      </c>
      <c r="C14" s="54" t="s">
        <v>60</v>
      </c>
      <c r="D14" s="54" t="s">
        <v>57</v>
      </c>
      <c r="E14" s="54" t="s">
        <v>60</v>
      </c>
      <c r="F14" s="54" t="s">
        <v>146</v>
      </c>
      <c r="G14" s="44"/>
      <c r="H14" s="44"/>
    </row>
    <row r="15" ht="25.5" customHeight="1">
      <c r="A15" s="55"/>
      <c r="B15" s="56" t="str">
        <f>'팀배정'!B6</f>
        <v/>
      </c>
      <c r="C15" s="57" t="str">
        <f>'팀배정'!C6</f>
        <v/>
      </c>
      <c r="D15" s="58" t="s">
        <v>37</v>
      </c>
      <c r="E15" s="59" t="str">
        <f>'팀배정'!G6</f>
        <v/>
      </c>
      <c r="F15" s="60" t="str">
        <f>'팀배정'!F6</f>
        <v/>
      </c>
      <c r="G15" s="55"/>
      <c r="H15" s="44"/>
    </row>
    <row r="16" ht="25.5" customHeight="1">
      <c r="A16" s="55"/>
      <c r="B16" s="56" t="str">
        <f>'팀배정'!B7</f>
        <v/>
      </c>
      <c r="C16" s="57" t="str">
        <f>'팀배정'!C7</f>
        <v/>
      </c>
      <c r="D16" s="58" t="s">
        <v>39</v>
      </c>
      <c r="E16" s="59" t="str">
        <f>'팀배정'!G7</f>
        <v/>
      </c>
      <c r="F16" s="60" t="str">
        <f>'팀배정'!F7</f>
        <v/>
      </c>
      <c r="G16" s="55"/>
      <c r="H16" s="44"/>
      <c r="J16" s="4"/>
      <c r="K16" s="4"/>
      <c r="L16" s="4"/>
    </row>
    <row r="17" ht="25.5" customHeight="1">
      <c r="A17" s="55"/>
      <c r="B17" s="56" t="str">
        <f>'팀배정'!B8</f>
        <v/>
      </c>
      <c r="C17" s="57" t="str">
        <f>'팀배정'!C8</f>
        <v/>
      </c>
      <c r="D17" s="58" t="s">
        <v>38</v>
      </c>
      <c r="E17" s="59" t="str">
        <f>'팀배정'!G8</f>
        <v/>
      </c>
      <c r="F17" s="60" t="str">
        <f>'팀배정'!F8</f>
        <v/>
      </c>
      <c r="G17" s="55"/>
      <c r="H17" s="44"/>
      <c r="J17" s="4"/>
      <c r="K17" s="4"/>
      <c r="L17" s="4"/>
    </row>
    <row r="18" ht="25.5" customHeight="1">
      <c r="A18" s="55"/>
      <c r="B18" s="56" t="str">
        <f>'팀배정'!B9</f>
        <v/>
      </c>
      <c r="C18" s="57" t="str">
        <f>'팀배정'!C9</f>
        <v/>
      </c>
      <c r="D18" s="58" t="s">
        <v>46</v>
      </c>
      <c r="E18" s="61" t="str">
        <f>'팀배정'!G9</f>
        <v/>
      </c>
      <c r="F18" s="60" t="str">
        <f>'팀배정'!F9</f>
        <v/>
      </c>
      <c r="G18" s="55"/>
      <c r="H18" s="44"/>
      <c r="J18" s="4"/>
      <c r="K18" s="4"/>
      <c r="L18" s="4"/>
    </row>
    <row r="19" ht="25.5" customHeight="1">
      <c r="A19" s="55"/>
      <c r="B19" s="56" t="str">
        <f>'팀배정'!B10</f>
        <v/>
      </c>
      <c r="C19" s="57" t="str">
        <f>'팀배정'!C10</f>
        <v/>
      </c>
      <c r="D19" s="58" t="s">
        <v>41</v>
      </c>
      <c r="E19" s="59" t="str">
        <f>'팀배정'!G10</f>
        <v/>
      </c>
      <c r="F19" s="60" t="str">
        <f>'팀배정'!F10</f>
        <v/>
      </c>
      <c r="G19" s="55"/>
      <c r="H19" s="44"/>
      <c r="J19" s="4"/>
      <c r="K19" s="4"/>
      <c r="L19" s="4"/>
    </row>
    <row r="20" ht="15.0" customHeight="1">
      <c r="A20" s="44"/>
      <c r="B20" s="44"/>
      <c r="C20" s="44"/>
      <c r="D20" s="44"/>
      <c r="E20" s="44"/>
      <c r="F20" s="44"/>
      <c r="G20" s="44"/>
      <c r="H20" s="44"/>
      <c r="J20" s="4"/>
      <c r="K20" s="4"/>
      <c r="L20" s="4"/>
    </row>
    <row r="21" ht="15.0" customHeight="1">
      <c r="A21" s="62" t="str">
        <f>"마지막 배정 시각 : " &amp; TEXT('팀배정'!B2,"yyyy-mm-dd hh:mm")</f>
        <v>마지막 배정 시각 : 1899-12-30 00:00</v>
      </c>
      <c r="B21" s="2"/>
      <c r="C21" s="2"/>
      <c r="D21" s="2"/>
      <c r="E21" s="2"/>
      <c r="F21" s="2"/>
      <c r="G21" s="3"/>
      <c r="H21" s="44"/>
      <c r="J21" s="4"/>
      <c r="K21" s="4"/>
      <c r="L21" s="4"/>
    </row>
    <row r="22" ht="15.0" customHeight="1">
      <c r="A22" s="63" t="str">
        <f>"점수 차이 : " &amp; '팀배정'!C14 &amp; "점 (" &amp; TEXT(ABS(D24-E24),"0%") &amp; "p 격차)"</f>
        <v>#DIV/0!</v>
      </c>
      <c r="B22" s="2"/>
      <c r="C22" s="2"/>
      <c r="D22" s="2"/>
      <c r="E22" s="2"/>
      <c r="F22" s="2"/>
      <c r="G22" s="3"/>
      <c r="H22" s="44"/>
      <c r="J22" s="4"/>
      <c r="K22" s="4"/>
      <c r="L22" s="4"/>
    </row>
    <row r="23" ht="15.0" customHeight="1">
      <c r="A23" s="44"/>
      <c r="B23" s="44"/>
      <c r="C23" s="64"/>
      <c r="D23" s="65" t="s">
        <v>147</v>
      </c>
      <c r="E23" s="65" t="s">
        <v>148</v>
      </c>
      <c r="F23" s="44"/>
      <c r="G23" s="44"/>
      <c r="H23" s="44"/>
      <c r="J23" s="4"/>
      <c r="K23" s="4"/>
      <c r="L23" s="4"/>
    </row>
    <row r="24" ht="15.0" customHeight="1">
      <c r="A24" s="44"/>
      <c r="B24" s="44"/>
      <c r="C24" s="65" t="s">
        <v>149</v>
      </c>
      <c r="D24" s="66" t="str">
        <f>'팀배정'!C12/('팀배정'!C12+'팀배정'!G12)</f>
        <v>#DIV/0!</v>
      </c>
      <c r="E24" s="66" t="str">
        <f>'팀배정'!G12/('팀배정'!C12+'팀배정'!G12)</f>
        <v>#DIV/0!</v>
      </c>
      <c r="F24" s="44"/>
      <c r="G24" s="44"/>
      <c r="H24" s="44"/>
      <c r="J24" s="4"/>
      <c r="K24" s="4"/>
      <c r="L24" s="4"/>
    </row>
    <row r="25" ht="15.0" customHeight="1">
      <c r="A25" s="44"/>
      <c r="B25" s="44"/>
      <c r="C25" s="44"/>
      <c r="D25" s="44"/>
      <c r="E25" s="44"/>
      <c r="F25" s="44"/>
      <c r="G25" s="44"/>
      <c r="H25" s="4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J1000" s="4"/>
      <c r="K1000" s="4"/>
      <c r="L1000" s="4"/>
    </row>
  </sheetData>
  <mergeCells count="10">
    <mergeCell ref="E6:G6"/>
    <mergeCell ref="A21:G21"/>
    <mergeCell ref="A22:G22"/>
    <mergeCell ref="D1:F1"/>
    <mergeCell ref="A2:G2"/>
    <mergeCell ref="A4:C4"/>
    <mergeCell ref="E4:G4"/>
    <mergeCell ref="A5:C5"/>
    <mergeCell ref="E5:G5"/>
    <mergeCell ref="A6:C6"/>
  </mergeCells>
  <conditionalFormatting sqref="C15:C19">
    <cfRule type="expression" dxfId="0" priority="1">
      <formula>C15&gt;E15</formula>
    </cfRule>
  </conditionalFormatting>
  <conditionalFormatting sqref="E15:E19">
    <cfRule type="expression" dxfId="1" priority="2">
      <formula>E15&gt;C15</formula>
    </cfRule>
  </conditionalFormatting>
  <printOptions/>
  <pageMargins bottom="1.0" footer="0.0" header="0.0" left="0.75" right="0.75" top="1.0"/>
  <pageSetup paperSize="9" orientation="portrait"/>
  <drawing r:id="rId1"/>
</worksheet>
</file>